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ortfolio\Excel\Cleaned File\"/>
    </mc:Choice>
  </mc:AlternateContent>
  <xr:revisionPtr revIDLastSave="0" documentId="13_ncr:1_{B5378B06-051C-41CC-BC10-15EE0FB1485D}" xr6:coauthVersionLast="47" xr6:coauthVersionMax="47" xr10:uidLastSave="{00000000-0000-0000-0000-000000000000}"/>
  <bookViews>
    <workbookView xWindow="-108" yWindow="-108" windowWidth="23256" windowHeight="13176" firstSheet="2" activeTab="6" xr2:uid="{E0BA5136-DED5-4864-B02A-487D358D510C}"/>
  </bookViews>
  <sheets>
    <sheet name="OBJECTIVES OF THE STUDY" sheetId="13" r:id="rId1"/>
    <sheet name="DASHBOARD" sheetId="14" r:id="rId2"/>
    <sheet name="STACK TEST" sheetId="2" r:id="rId3"/>
    <sheet name="SPEED TEST DATA" sheetId="1" r:id="rId4"/>
    <sheet name="POWER TEST" sheetId="8" r:id="rId5"/>
    <sheet name="EVAULUATION" sheetId="10" r:id="rId6"/>
    <sheet name="VOLTAGE REGULATION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0" l="1"/>
  <c r="N5" i="10"/>
  <c r="N6" i="10"/>
  <c r="N3" i="10"/>
  <c r="Q2" i="11"/>
  <c r="N7" i="10" l="1"/>
  <c r="B6" i="13" a="1"/>
  <c r="B6" i="13" s="1"/>
  <c r="O2" i="11"/>
  <c r="B12" i="11" s="1"/>
  <c r="O3" i="11"/>
  <c r="B13" i="11" s="1"/>
  <c r="O4" i="11"/>
  <c r="B14" i="11" s="1"/>
  <c r="O5" i="11"/>
  <c r="B15" i="11" s="1"/>
  <c r="O6" i="11"/>
  <c r="B16" i="11" s="1"/>
  <c r="O7" i="11"/>
  <c r="B17" i="11" s="1"/>
  <c r="L2" i="11" l="1"/>
  <c r="P2" i="11" s="1"/>
  <c r="L3" i="11"/>
  <c r="P3" i="11" s="1"/>
  <c r="Q3" i="11" s="1"/>
  <c r="L4" i="11"/>
  <c r="L5" i="11"/>
  <c r="L6" i="11"/>
  <c r="L7" i="11"/>
  <c r="P5" i="11" l="1"/>
  <c r="C15" i="11"/>
  <c r="P7" i="11"/>
  <c r="C17" i="11"/>
  <c r="C16" i="11"/>
  <c r="P6" i="11"/>
  <c r="D13" i="11"/>
  <c r="C13" i="11"/>
  <c r="D12" i="11"/>
  <c r="C12" i="11"/>
  <c r="P4" i="11"/>
  <c r="C14" i="11"/>
  <c r="Q4" i="11" l="1"/>
  <c r="D14" i="11" s="1"/>
  <c r="Q6" i="11"/>
  <c r="D16" i="11" s="1"/>
  <c r="Q7" i="11"/>
  <c r="D17" i="11" s="1"/>
  <c r="Q5" i="11"/>
  <c r="D15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<sst xmlns="http://schemas.openxmlformats.org/spreadsheetml/2006/main" count="220" uniqueCount="95">
  <si>
    <t>6-10 kph</t>
  </si>
  <si>
    <t>11-15 kph</t>
  </si>
  <si>
    <t>16-20 kph</t>
  </si>
  <si>
    <t>21-25 kph</t>
  </si>
  <si>
    <t>26-30 kph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</si>
  <si>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</si>
  <si>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</si>
  <si>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</si>
  <si>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</si>
  <si>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</si>
  <si>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</si>
  <si>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</si>
  <si>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</si>
  <si>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</si>
  <si>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</si>
  <si>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 xml:space="preserve"> # OF STACKS</t>
  </si>
  <si>
    <t>Total</t>
  </si>
  <si>
    <t>F</t>
  </si>
  <si>
    <t>Average</t>
  </si>
  <si>
    <t>SPEED</t>
  </si>
  <si>
    <t>1-5 kph</t>
  </si>
  <si>
    <t>CRITERIA</t>
  </si>
  <si>
    <t>Functionality</t>
  </si>
  <si>
    <t>Reliability</t>
  </si>
  <si>
    <t>Usability</t>
  </si>
  <si>
    <t>Efficiency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</si>
  <si>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</si>
  <si>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</si>
  <si>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</si>
  <si>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</si>
  <si>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</si>
  <si>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</si>
  <si>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</si>
  <si>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</si>
  <si>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</si>
  <si>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</si>
  <si>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</si>
  <si>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</si>
  <si>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</si>
  <si>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</si>
  <si>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</si>
  <si>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</si>
  <si>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</si>
  <si>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</si>
  <si>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</si>
  <si>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</si>
  <si>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Weighted Average</t>
  </si>
  <si>
    <t>Interpretation</t>
  </si>
  <si>
    <t>Very Strongly Agree</t>
  </si>
  <si>
    <t>Range of Mean</t>
  </si>
  <si>
    <t>Description</t>
  </si>
  <si>
    <t>1.00-1.81</t>
  </si>
  <si>
    <t>4.21-5.00</t>
  </si>
  <si>
    <t>1.81-2.60</t>
  </si>
  <si>
    <t>2.61-3.41</t>
  </si>
  <si>
    <t>3.42-4.20</t>
  </si>
  <si>
    <t>Strongly Disagree</t>
  </si>
  <si>
    <t>Disagree</t>
  </si>
  <si>
    <t>Agree</t>
  </si>
  <si>
    <t>Strongly Agree</t>
  </si>
  <si>
    <t>Overall</t>
  </si>
  <si>
    <t>Voltage Regulation</t>
  </si>
  <si>
    <t>No Load Voltage</t>
  </si>
  <si>
    <t>Full Load Voltage</t>
  </si>
  <si>
    <t>MS</t>
  </si>
  <si>
    <t>SS</t>
  </si>
  <si>
    <t>Objectives of the Study</t>
  </si>
  <si>
    <t>Design a piezoelectric road generator for vehicles that generates and stores electricity.</t>
  </si>
  <si>
    <t>Measure the output power and voltage that a motorized vehicle can generate at different speeds.</t>
  </si>
  <si>
    <t>Evaluate the piezoelectric roadgenerator functionality by having it assessed by professionals and relevant end-users.</t>
  </si>
  <si>
    <t>Title: Harvesting Kinetic Energy:The Potential of Piezoelectric Road Generators as a Sustainable Energy Source</t>
  </si>
  <si>
    <t>SUMMARY</t>
  </si>
  <si>
    <t>Count</t>
  </si>
  <si>
    <t>Sum</t>
  </si>
  <si>
    <t>Variance</t>
  </si>
  <si>
    <t>ANOVA</t>
  </si>
  <si>
    <t>Source of Variation</t>
  </si>
  <si>
    <t>df</t>
  </si>
  <si>
    <t>P-value</t>
  </si>
  <si>
    <t>F crit</t>
  </si>
  <si>
    <t>Anova: Single Factor</t>
  </si>
  <si>
    <t>Groups</t>
  </si>
  <si>
    <t>Between Groups</t>
  </si>
  <si>
    <t>Within Groups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</si>
  <si>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</si>
  <si>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</si>
  <si>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</si>
  <si>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</si>
  <si>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</si>
  <si>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</si>
  <si>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</si>
  <si>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</si>
  <si>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</si>
  <si>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</si>
  <si>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Energize low-power The electronics.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</si>
</sst>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 tint="4.9989318521683403E-2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B9"/>
        <bgColor indexed="64"/>
      </patternFill>
    </fill>
    <fill>
      <patternFill patternType="solid">
        <fgColor rgb="FFFEBF22"/>
        <bgColor indexed="64"/>
      </patternFill>
    </fill>
    <fill>
      <patternFill patternType="solid">
        <fgColor rgb="FFFFEEC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2" borderId="0" xfId="0" applyFill="1"/>
    <xf numFmtId="0" fontId="2" fillId="0" borderId="2" xfId="0" applyFont="1" applyBorder="1"/>
    <xf numFmtId="0" fontId="2" fillId="2" borderId="0" xfId="0" applyFont="1" applyFill="1"/>
    <xf numFmtId="0" fontId="2" fillId="0" borderId="1" xfId="0" applyFont="1" applyBorder="1"/>
    <xf numFmtId="0" fontId="5" fillId="0" borderId="0" xfId="0" applyFont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2" fontId="2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2" fontId="2" fillId="2" borderId="1" xfId="0" applyNumberFormat="1" applyFont="1" applyFill="1" applyBorder="1" applyAlignment="1">
      <alignment horizontal="center"/>
    </xf>
    <xf numFmtId="0" fontId="4" fillId="0" borderId="0" xfId="0" applyFont="1"/>
    <xf numFmtId="2" fontId="2" fillId="4" borderId="0" xfId="0" applyNumberFormat="1" applyFont="1" applyFill="1" applyAlignment="1">
      <alignment horizontal="center"/>
    </xf>
    <xf numFmtId="0" fontId="7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3" xfId="0" applyBorder="1"/>
    <xf numFmtId="0" fontId="8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2" borderId="0" xfId="0" applyFont="1" applyFill="1"/>
    <xf numFmtId="0" fontId="4" fillId="2" borderId="0" xfId="1" applyNumberFormat="1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 applyBorder="1" applyAlignment="1"/>
    <xf numFmtId="0" fontId="0" fillId="0" borderId="3" xfId="0" applyFill="1" applyBorder="1" applyAlignment="1"/>
    <xf numFmtId="0" fontId="8" fillId="0" borderId="4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82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 tint="4.9989318521683403E-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FFEEC5"/>
      <color rgb="FFFEBF22"/>
      <color rgb="FFFFFFB9"/>
      <color rgb="FFCDC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7755234583408"/>
          <c:y val="7.217847769028872E-2"/>
          <c:w val="0.84673096844489526"/>
          <c:h val="0.7769028871391077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'SPEED TEST DATA'!$B$1</c:f>
              <c:strCache>
                <c:ptCount val="1"/>
                <c:pt idx="0">
                  <c:v>TRIAL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42000"/>
                </a:schemeClr>
              </a:solidFill>
              <a:ln w="9525">
                <a:solidFill>
                  <a:schemeClr val="accent4">
                    <a:shade val="42000"/>
                  </a:schemeClr>
                </a:solidFill>
              </a:ln>
              <a:effectLst/>
            </c:spPr>
          </c:marker>
          <c:xVal>
            <c:strRef>
              <c:f>'SPEED TEST DATA'!$A$2:$A$7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'SPEED TEST DATA'!$B$2:$B$7</c:f>
              <c:numCache>
                <c:formatCode>General</c:formatCode>
                <c:ptCount val="6"/>
                <c:pt idx="0">
                  <c:v>10.5</c:v>
                </c:pt>
                <c:pt idx="1">
                  <c:v>12.8</c:v>
                </c:pt>
                <c:pt idx="2">
                  <c:v>11.9</c:v>
                </c:pt>
                <c:pt idx="3">
                  <c:v>10.5</c:v>
                </c:pt>
                <c:pt idx="4">
                  <c:v>12.4</c:v>
                </c:pt>
                <c:pt idx="5">
                  <c:v>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8-488B-A509-8F095EC40743}"/>
            </c:ext>
          </c:extLst>
        </c:ser>
        <c:ser>
          <c:idx val="1"/>
          <c:order val="1"/>
          <c:tx>
            <c:strRef>
              <c:f>'SPEED TEST DATA'!$C$1</c:f>
              <c:strCache>
                <c:ptCount val="1"/>
                <c:pt idx="0">
                  <c:v>TRIAL 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55000"/>
                </a:schemeClr>
              </a:solidFill>
              <a:ln w="9525">
                <a:solidFill>
                  <a:schemeClr val="accent4">
                    <a:shade val="55000"/>
                  </a:schemeClr>
                </a:solidFill>
              </a:ln>
              <a:effectLst/>
            </c:spPr>
          </c:marker>
          <c:xVal>
            <c:strRef>
              <c:f>'SPEED TEST DATA'!$A$2:$A$7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'SPEED TEST DATA'!$C$2:$C$7</c:f>
              <c:numCache>
                <c:formatCode>General</c:formatCode>
                <c:ptCount val="6"/>
                <c:pt idx="0">
                  <c:v>11.7</c:v>
                </c:pt>
                <c:pt idx="1">
                  <c:v>12.9</c:v>
                </c:pt>
                <c:pt idx="2">
                  <c:v>10.199999999999999</c:v>
                </c:pt>
                <c:pt idx="3">
                  <c:v>11.4</c:v>
                </c:pt>
                <c:pt idx="4">
                  <c:v>9.5</c:v>
                </c:pt>
                <c:pt idx="5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E8-488B-A509-8F095EC40743}"/>
            </c:ext>
          </c:extLst>
        </c:ser>
        <c:ser>
          <c:idx val="2"/>
          <c:order val="2"/>
          <c:tx>
            <c:strRef>
              <c:f>'SPEED TEST DATA'!$D$1</c:f>
              <c:strCache>
                <c:ptCount val="1"/>
                <c:pt idx="0">
                  <c:v>TRIAL 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68000"/>
                </a:schemeClr>
              </a:solidFill>
              <a:ln w="9525">
                <a:solidFill>
                  <a:schemeClr val="accent4">
                    <a:shade val="68000"/>
                  </a:schemeClr>
                </a:solidFill>
              </a:ln>
              <a:effectLst/>
            </c:spPr>
          </c:marker>
          <c:xVal>
            <c:strRef>
              <c:f>'SPEED TEST DATA'!$A$2:$A$7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'SPEED TEST DATA'!$D$2:$D$7</c:f>
              <c:numCache>
                <c:formatCode>General</c:formatCode>
                <c:ptCount val="6"/>
                <c:pt idx="0">
                  <c:v>12.2</c:v>
                </c:pt>
                <c:pt idx="1">
                  <c:v>13.1</c:v>
                </c:pt>
                <c:pt idx="2">
                  <c:v>14.1</c:v>
                </c:pt>
                <c:pt idx="3">
                  <c:v>9</c:v>
                </c:pt>
                <c:pt idx="4">
                  <c:v>9</c:v>
                </c:pt>
                <c:pt idx="5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E8-488B-A509-8F095EC40743}"/>
            </c:ext>
          </c:extLst>
        </c:ser>
        <c:ser>
          <c:idx val="3"/>
          <c:order val="3"/>
          <c:tx>
            <c:strRef>
              <c:f>'SPEED TEST DATA'!$E$1</c:f>
              <c:strCache>
                <c:ptCount val="1"/>
                <c:pt idx="0">
                  <c:v>TRIAL 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80000"/>
                </a:schemeClr>
              </a:solidFill>
              <a:ln w="9525">
                <a:solidFill>
                  <a:schemeClr val="accent4">
                    <a:shade val="80000"/>
                  </a:schemeClr>
                </a:solidFill>
              </a:ln>
              <a:effectLst/>
            </c:spPr>
          </c:marker>
          <c:xVal>
            <c:strRef>
              <c:f>'SPEED TEST DATA'!$A$2:$A$7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'SPEED TEST DATA'!$E$2:$E$7</c:f>
              <c:numCache>
                <c:formatCode>General</c:formatCode>
                <c:ptCount val="6"/>
                <c:pt idx="0">
                  <c:v>11.4</c:v>
                </c:pt>
                <c:pt idx="1">
                  <c:v>13</c:v>
                </c:pt>
                <c:pt idx="2">
                  <c:v>11.1</c:v>
                </c:pt>
                <c:pt idx="3">
                  <c:v>8</c:v>
                </c:pt>
                <c:pt idx="4">
                  <c:v>6.3</c:v>
                </c:pt>
                <c:pt idx="5">
                  <c:v>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E8-488B-A509-8F095EC40743}"/>
            </c:ext>
          </c:extLst>
        </c:ser>
        <c:ser>
          <c:idx val="4"/>
          <c:order val="4"/>
          <c:tx>
            <c:strRef>
              <c:f>'SPEED TEST DATA'!$F$1</c:f>
              <c:strCache>
                <c:ptCount val="1"/>
                <c:pt idx="0">
                  <c:v>TRIAL 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93000"/>
                </a:schemeClr>
              </a:solidFill>
              <a:ln w="9525">
                <a:solidFill>
                  <a:schemeClr val="accent4">
                    <a:shade val="93000"/>
                  </a:schemeClr>
                </a:solidFill>
              </a:ln>
              <a:effectLst/>
            </c:spPr>
          </c:marker>
          <c:xVal>
            <c:strRef>
              <c:f>'SPEED TEST DATA'!$A$2:$A$7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'SPEED TEST DATA'!$F$2:$F$7</c:f>
              <c:numCache>
                <c:formatCode>General</c:formatCode>
                <c:ptCount val="6"/>
                <c:pt idx="0">
                  <c:v>12.3</c:v>
                </c:pt>
                <c:pt idx="1">
                  <c:v>12.5</c:v>
                </c:pt>
                <c:pt idx="2">
                  <c:v>11.9</c:v>
                </c:pt>
                <c:pt idx="3">
                  <c:v>12.4</c:v>
                </c:pt>
                <c:pt idx="4">
                  <c:v>9.3000000000000007</c:v>
                </c:pt>
                <c:pt idx="5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3E8-488B-A509-8F095EC40743}"/>
            </c:ext>
          </c:extLst>
        </c:ser>
        <c:ser>
          <c:idx val="5"/>
          <c:order val="5"/>
          <c:tx>
            <c:strRef>
              <c:f>'SPEED TEST DATA'!$G$1</c:f>
              <c:strCache>
                <c:ptCount val="1"/>
                <c:pt idx="0">
                  <c:v>TRIAL 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94000"/>
                </a:schemeClr>
              </a:solidFill>
              <a:ln w="9525">
                <a:solidFill>
                  <a:schemeClr val="accent4">
                    <a:tint val="94000"/>
                  </a:schemeClr>
                </a:solidFill>
              </a:ln>
              <a:effectLst/>
            </c:spPr>
          </c:marker>
          <c:xVal>
            <c:strRef>
              <c:f>'SPEED TEST DATA'!$A$2:$A$7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'SPEED TEST DATA'!$G$2:$G$7</c:f>
              <c:numCache>
                <c:formatCode>General</c:formatCode>
                <c:ptCount val="6"/>
                <c:pt idx="0">
                  <c:v>11.2</c:v>
                </c:pt>
                <c:pt idx="1">
                  <c:v>13.9</c:v>
                </c:pt>
                <c:pt idx="2">
                  <c:v>15.2</c:v>
                </c:pt>
                <c:pt idx="3">
                  <c:v>8.1</c:v>
                </c:pt>
                <c:pt idx="4">
                  <c:v>10.4</c:v>
                </c:pt>
                <c:pt idx="5">
                  <c:v>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E8-488B-A509-8F095EC40743}"/>
            </c:ext>
          </c:extLst>
        </c:ser>
        <c:ser>
          <c:idx val="6"/>
          <c:order val="6"/>
          <c:tx>
            <c:strRef>
              <c:f>'SPEED TEST DATA'!$H$1</c:f>
              <c:strCache>
                <c:ptCount val="1"/>
                <c:pt idx="0">
                  <c:v>TRIAL 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81000"/>
                </a:schemeClr>
              </a:solidFill>
              <a:ln w="9525">
                <a:solidFill>
                  <a:schemeClr val="accent4">
                    <a:tint val="81000"/>
                  </a:schemeClr>
                </a:solidFill>
              </a:ln>
              <a:effectLst/>
            </c:spPr>
          </c:marker>
          <c:xVal>
            <c:strRef>
              <c:f>'SPEED TEST DATA'!$A$2:$A$7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'SPEED TEST DATA'!$H$2:$H$7</c:f>
              <c:numCache>
                <c:formatCode>General</c:formatCode>
                <c:ptCount val="6"/>
                <c:pt idx="0">
                  <c:v>15.2</c:v>
                </c:pt>
                <c:pt idx="1">
                  <c:v>10.199999999999999</c:v>
                </c:pt>
                <c:pt idx="2">
                  <c:v>12</c:v>
                </c:pt>
                <c:pt idx="3">
                  <c:v>14.3</c:v>
                </c:pt>
                <c:pt idx="4">
                  <c:v>11</c:v>
                </c:pt>
                <c:pt idx="5">
                  <c:v>8.8000000000000007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3E8-488B-A509-8F095EC40743}"/>
            </c:ext>
          </c:extLst>
        </c:ser>
        <c:ser>
          <c:idx val="7"/>
          <c:order val="7"/>
          <c:tx>
            <c:strRef>
              <c:f>'SPEED TEST DATA'!$I$1</c:f>
              <c:strCache>
                <c:ptCount val="1"/>
                <c:pt idx="0">
                  <c:v>TRIAL 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69000"/>
                </a:schemeClr>
              </a:solidFill>
              <a:ln w="9525">
                <a:solidFill>
                  <a:schemeClr val="accent4">
                    <a:tint val="69000"/>
                  </a:schemeClr>
                </a:solidFill>
              </a:ln>
              <a:effectLst/>
            </c:spPr>
          </c:marker>
          <c:xVal>
            <c:strRef>
              <c:f>'SPEED TEST DATA'!$A$2:$A$7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'SPEED TEST DATA'!$I$2:$I$7</c:f>
              <c:numCache>
                <c:formatCode>General</c:formatCode>
                <c:ptCount val="6"/>
                <c:pt idx="0">
                  <c:v>13.9</c:v>
                </c:pt>
                <c:pt idx="1">
                  <c:v>11.7</c:v>
                </c:pt>
                <c:pt idx="2">
                  <c:v>11.9</c:v>
                </c:pt>
                <c:pt idx="3">
                  <c:v>9.3000000000000007</c:v>
                </c:pt>
                <c:pt idx="4">
                  <c:v>7.7</c:v>
                </c:pt>
                <c:pt idx="5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3E8-488B-A509-8F095EC40743}"/>
            </c:ext>
          </c:extLst>
        </c:ser>
        <c:ser>
          <c:idx val="8"/>
          <c:order val="8"/>
          <c:tx>
            <c:strRef>
              <c:f>'SPEED TEST DATA'!$J$1</c:f>
              <c:strCache>
                <c:ptCount val="1"/>
                <c:pt idx="0">
                  <c:v>TRIAL 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6000"/>
                </a:schemeClr>
              </a:solidFill>
              <a:ln w="9525">
                <a:solidFill>
                  <a:schemeClr val="accent4">
                    <a:tint val="56000"/>
                  </a:schemeClr>
                </a:solidFill>
              </a:ln>
              <a:effectLst/>
            </c:spPr>
          </c:marker>
          <c:xVal>
            <c:strRef>
              <c:f>'SPEED TEST DATA'!$A$2:$A$7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'SPEED TEST DATA'!$J$2:$J$7</c:f>
              <c:numCache>
                <c:formatCode>General</c:formatCode>
                <c:ptCount val="6"/>
                <c:pt idx="0">
                  <c:v>11.5</c:v>
                </c:pt>
                <c:pt idx="1">
                  <c:v>15.1</c:v>
                </c:pt>
                <c:pt idx="2">
                  <c:v>11.2</c:v>
                </c:pt>
                <c:pt idx="3">
                  <c:v>7.5</c:v>
                </c:pt>
                <c:pt idx="4">
                  <c:v>14.6</c:v>
                </c:pt>
                <c:pt idx="5">
                  <c:v>13.9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3E8-488B-A509-8F095EC40743}"/>
            </c:ext>
          </c:extLst>
        </c:ser>
        <c:ser>
          <c:idx val="9"/>
          <c:order val="9"/>
          <c:tx>
            <c:strRef>
              <c:f>'SPEED TEST DATA'!$K$1</c:f>
              <c:strCache>
                <c:ptCount val="1"/>
                <c:pt idx="0">
                  <c:v>TRIAL 10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43000"/>
                </a:schemeClr>
              </a:solidFill>
              <a:ln w="9525">
                <a:solidFill>
                  <a:schemeClr val="accent4">
                    <a:tint val="43000"/>
                  </a:schemeClr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4">
                    <a:tint val="43000"/>
                  </a:schemeClr>
                </a:solidFill>
                <a:ln w="9525">
                  <a:solidFill>
                    <a:schemeClr val="accent4">
                      <a:tint val="43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23E8-488B-A509-8F095EC40743}"/>
              </c:ext>
            </c:extLst>
          </c:dPt>
          <c:xVal>
            <c:strRef>
              <c:f>'SPEED TEST DATA'!$A$2:$A$7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'SPEED TEST DATA'!$K$2:$K$7</c:f>
              <c:numCache>
                <c:formatCode>General</c:formatCode>
                <c:ptCount val="6"/>
                <c:pt idx="0">
                  <c:v>14.5</c:v>
                </c:pt>
                <c:pt idx="1">
                  <c:v>10.8</c:v>
                </c:pt>
                <c:pt idx="2">
                  <c:v>14.1</c:v>
                </c:pt>
                <c:pt idx="3">
                  <c:v>8.6</c:v>
                </c:pt>
                <c:pt idx="4">
                  <c:v>12.98</c:v>
                </c:pt>
                <c:pt idx="5">
                  <c:v>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3E8-488B-A509-8F095EC40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473503"/>
        <c:axId val="514472543"/>
      </c:scatterChart>
      <c:valAx>
        <c:axId val="5144735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crossAx val="514472543"/>
        <c:crosses val="autoZero"/>
        <c:crossBetween val="midCat"/>
      </c:valAx>
      <c:valAx>
        <c:axId val="51447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47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31633506379523"/>
          <c:y val="0.1475338106603023"/>
          <c:w val="0.84876673538836034"/>
          <c:h val="0.604851884564548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'POWER TEST'!$B$1</c:f>
              <c:strCache>
                <c:ptCount val="1"/>
                <c:pt idx="0">
                  <c:v>TRIAL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42000"/>
                </a:schemeClr>
              </a:solidFill>
              <a:ln w="9525">
                <a:solidFill>
                  <a:schemeClr val="accent4">
                    <a:shade val="42000"/>
                  </a:schemeClr>
                </a:solidFill>
              </a:ln>
              <a:effectLst/>
            </c:spPr>
          </c:marker>
          <c:xVal>
            <c:strRef>
              <c:f>'POWER TEST'!$A$2:$A$7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'POWER TEST'!$B$2:$B$7</c:f>
              <c:numCache>
                <c:formatCode>0.00</c:formatCode>
                <c:ptCount val="6"/>
                <c:pt idx="0">
                  <c:v>15.132100000000001</c:v>
                </c:pt>
                <c:pt idx="1">
                  <c:v>35.760399999999997</c:v>
                </c:pt>
                <c:pt idx="2">
                  <c:v>41.990399999999994</c:v>
                </c:pt>
                <c:pt idx="3">
                  <c:v>5.1075999999999997</c:v>
                </c:pt>
                <c:pt idx="4">
                  <c:v>63.36160000000001</c:v>
                </c:pt>
                <c:pt idx="5">
                  <c:v>276.2244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84-4D87-9828-EF8FAAE73D55}"/>
            </c:ext>
          </c:extLst>
        </c:ser>
        <c:ser>
          <c:idx val="1"/>
          <c:order val="1"/>
          <c:tx>
            <c:strRef>
              <c:f>'POWER TEST'!$C$1</c:f>
              <c:strCache>
                <c:ptCount val="1"/>
                <c:pt idx="0">
                  <c:v>TRIAL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42000"/>
                </a:schemeClr>
              </a:solidFill>
              <a:ln w="9525">
                <a:solidFill>
                  <a:schemeClr val="accent4">
                    <a:shade val="42000"/>
                  </a:schemeClr>
                </a:solidFill>
              </a:ln>
              <a:effectLst/>
            </c:spPr>
          </c:marker>
          <c:xVal>
            <c:strRef>
              <c:f>'POWER TEST'!$A$2:$A$7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'POWER TEST'!$C$2:$C$7</c:f>
              <c:numCache>
                <c:formatCode>0.00</c:formatCode>
                <c:ptCount val="6"/>
                <c:pt idx="0">
                  <c:v>17.556100000000001</c:v>
                </c:pt>
                <c:pt idx="1">
                  <c:v>16.892099999999999</c:v>
                </c:pt>
                <c:pt idx="2">
                  <c:v>33.177599999999998</c:v>
                </c:pt>
                <c:pt idx="3">
                  <c:v>130.41640000000001</c:v>
                </c:pt>
                <c:pt idx="4">
                  <c:v>61.1524</c:v>
                </c:pt>
                <c:pt idx="5">
                  <c:v>57.912099999999995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F-45BA-B5AF-93145413F1C3}"/>
            </c:ext>
          </c:extLst>
        </c:ser>
        <c:ser>
          <c:idx val="2"/>
          <c:order val="2"/>
          <c:tx>
            <c:strRef>
              <c:f>'POWER TEST'!$D$1</c:f>
              <c:strCache>
                <c:ptCount val="1"/>
                <c:pt idx="0">
                  <c:v>TRIAL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68000"/>
                </a:schemeClr>
              </a:solidFill>
              <a:ln w="9525">
                <a:solidFill>
                  <a:schemeClr val="accent4">
                    <a:shade val="68000"/>
                  </a:schemeClr>
                </a:solidFill>
              </a:ln>
              <a:effectLst/>
            </c:spPr>
          </c:marker>
          <c:xVal>
            <c:strRef>
              <c:f>'POWER TEST'!$A$2:$A$7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'POWER TEST'!$D$2:$D$7</c:f>
              <c:numCache>
                <c:formatCode>0.00</c:formatCode>
                <c:ptCount val="6"/>
                <c:pt idx="0">
                  <c:v>24.1081</c:v>
                </c:pt>
                <c:pt idx="1">
                  <c:v>110.6704</c:v>
                </c:pt>
                <c:pt idx="2">
                  <c:v>15.6816</c:v>
                </c:pt>
                <c:pt idx="3">
                  <c:v>26.214400000000001</c:v>
                </c:pt>
                <c:pt idx="4">
                  <c:v>23.912100000000002</c:v>
                </c:pt>
                <c:pt idx="5">
                  <c:v>173.7124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2F-45BA-B5AF-93145413F1C3}"/>
            </c:ext>
          </c:extLst>
        </c:ser>
        <c:ser>
          <c:idx val="3"/>
          <c:order val="3"/>
          <c:tx>
            <c:strRef>
              <c:f>'POWER TEST'!$E$1</c:f>
              <c:strCache>
                <c:ptCount val="1"/>
                <c:pt idx="0">
                  <c:v>TRIAL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80000"/>
                </a:schemeClr>
              </a:solidFill>
              <a:ln w="9525">
                <a:solidFill>
                  <a:schemeClr val="accent4">
                    <a:shade val="80000"/>
                  </a:schemeClr>
                </a:solidFill>
              </a:ln>
              <a:effectLst/>
            </c:spPr>
          </c:marker>
          <c:xVal>
            <c:strRef>
              <c:f>'POWER TEST'!$A$2:$A$7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'POWER TEST'!$E$2:$E$7</c:f>
              <c:numCache>
                <c:formatCode>0.00</c:formatCode>
                <c:ptCount val="6"/>
                <c:pt idx="0">
                  <c:v>37.822499999999998</c:v>
                </c:pt>
                <c:pt idx="1">
                  <c:v>70.728099999999998</c:v>
                </c:pt>
                <c:pt idx="2">
                  <c:v>7.4529000000000005</c:v>
                </c:pt>
                <c:pt idx="3">
                  <c:v>46.785600000000002</c:v>
                </c:pt>
                <c:pt idx="4">
                  <c:v>114.7041</c:v>
                </c:pt>
                <c:pt idx="5">
                  <c:v>77.264099999999999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2F-45BA-B5AF-93145413F1C3}"/>
            </c:ext>
          </c:extLst>
        </c:ser>
        <c:ser>
          <c:idx val="4"/>
          <c:order val="4"/>
          <c:tx>
            <c:strRef>
              <c:f>'POWER TEST'!$F$1</c:f>
              <c:strCache>
                <c:ptCount val="1"/>
                <c:pt idx="0">
                  <c:v>TRIAL 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93000"/>
                </a:schemeClr>
              </a:solidFill>
              <a:ln w="9525">
                <a:solidFill>
                  <a:schemeClr val="accent4">
                    <a:shade val="93000"/>
                  </a:schemeClr>
                </a:solidFill>
              </a:ln>
              <a:effectLst/>
            </c:spPr>
          </c:marker>
          <c:xVal>
            <c:strRef>
              <c:f>'POWER TEST'!$A$2:$A$7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'POWER TEST'!$F$2:$F$7</c:f>
              <c:numCache>
                <c:formatCode>0.00</c:formatCode>
                <c:ptCount val="6"/>
                <c:pt idx="0">
                  <c:v>20.430399999999999</c:v>
                </c:pt>
                <c:pt idx="1">
                  <c:v>60.217599999999997</c:v>
                </c:pt>
                <c:pt idx="2">
                  <c:v>23.04</c:v>
                </c:pt>
                <c:pt idx="3">
                  <c:v>178.7569</c:v>
                </c:pt>
                <c:pt idx="4">
                  <c:v>35.760399999999997</c:v>
                </c:pt>
                <c:pt idx="5">
                  <c:v>19.1844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2F-45BA-B5AF-93145413F1C3}"/>
            </c:ext>
          </c:extLst>
        </c:ser>
        <c:ser>
          <c:idx val="5"/>
          <c:order val="5"/>
          <c:tx>
            <c:strRef>
              <c:f>'POWER TEST'!$G$1</c:f>
              <c:strCache>
                <c:ptCount val="1"/>
                <c:pt idx="0">
                  <c:v>TRIAL 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94000"/>
                </a:schemeClr>
              </a:solidFill>
              <a:ln w="9525">
                <a:solidFill>
                  <a:schemeClr val="accent4">
                    <a:tint val="94000"/>
                  </a:schemeClr>
                </a:solidFill>
              </a:ln>
              <a:effectLst/>
            </c:spPr>
          </c:marker>
          <c:xVal>
            <c:strRef>
              <c:f>'POWER TEST'!$A$2:$A$7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'POWER TEST'!$G$2:$G$7</c:f>
              <c:numCache>
                <c:formatCode>0.00</c:formatCode>
                <c:ptCount val="6"/>
                <c:pt idx="0">
                  <c:v>27.6676</c:v>
                </c:pt>
                <c:pt idx="1">
                  <c:v>132.71039999999999</c:v>
                </c:pt>
                <c:pt idx="2">
                  <c:v>112.78439999999999</c:v>
                </c:pt>
                <c:pt idx="3">
                  <c:v>32.376100000000001</c:v>
                </c:pt>
                <c:pt idx="4">
                  <c:v>69.388900000000007</c:v>
                </c:pt>
                <c:pt idx="5">
                  <c:v>89.113600000000005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2F-45BA-B5AF-93145413F1C3}"/>
            </c:ext>
          </c:extLst>
        </c:ser>
        <c:ser>
          <c:idx val="6"/>
          <c:order val="6"/>
          <c:tx>
            <c:strRef>
              <c:f>'POWER TEST'!$H$1</c:f>
              <c:strCache>
                <c:ptCount val="1"/>
                <c:pt idx="0">
                  <c:v>TRIAL 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81000"/>
                </a:schemeClr>
              </a:solidFill>
              <a:ln w="9525">
                <a:solidFill>
                  <a:schemeClr val="accent4">
                    <a:tint val="81000"/>
                  </a:schemeClr>
                </a:solidFill>
              </a:ln>
              <a:effectLst/>
            </c:spPr>
          </c:marker>
          <c:xVal>
            <c:strRef>
              <c:f>'POWER TEST'!$A$2:$A$7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'POWER TEST'!$H$2:$H$7</c:f>
              <c:numCache>
                <c:formatCode>0.00</c:formatCode>
                <c:ptCount val="6"/>
                <c:pt idx="0">
                  <c:v>41.602499999999999</c:v>
                </c:pt>
                <c:pt idx="1">
                  <c:v>65.448099999999997</c:v>
                </c:pt>
                <c:pt idx="2">
                  <c:v>88.736400000000003</c:v>
                </c:pt>
                <c:pt idx="3">
                  <c:v>22.09</c:v>
                </c:pt>
                <c:pt idx="4">
                  <c:v>127.46409999999999</c:v>
                </c:pt>
                <c:pt idx="5">
                  <c:v>117.7225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2F-45BA-B5AF-93145413F1C3}"/>
            </c:ext>
          </c:extLst>
        </c:ser>
        <c:ser>
          <c:idx val="7"/>
          <c:order val="7"/>
          <c:tx>
            <c:strRef>
              <c:f>'POWER TEST'!$I$1</c:f>
              <c:strCache>
                <c:ptCount val="1"/>
                <c:pt idx="0">
                  <c:v>TRIAL 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42000"/>
                </a:schemeClr>
              </a:solidFill>
              <a:ln w="9525">
                <a:solidFill>
                  <a:schemeClr val="accent4">
                    <a:shade val="42000"/>
                  </a:schemeClr>
                </a:solidFill>
              </a:ln>
              <a:effectLst/>
            </c:spPr>
          </c:marker>
          <c:xVal>
            <c:strRef>
              <c:f>'POWER TEST'!$A$2:$A$7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'POWER TEST'!$I$2:$I$7</c:f>
              <c:numCache>
                <c:formatCode>0.00</c:formatCode>
                <c:ptCount val="6"/>
                <c:pt idx="0">
                  <c:v>36.4816</c:v>
                </c:pt>
                <c:pt idx="1">
                  <c:v>18.490000000000002</c:v>
                </c:pt>
                <c:pt idx="2">
                  <c:v>58.369599999999998</c:v>
                </c:pt>
                <c:pt idx="3">
                  <c:v>89.302499999999995</c:v>
                </c:pt>
                <c:pt idx="4">
                  <c:v>73.7881</c:v>
                </c:pt>
                <c:pt idx="5">
                  <c:v>115.77760000000001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2F-45BA-B5AF-93145413F1C3}"/>
            </c:ext>
          </c:extLst>
        </c:ser>
        <c:ser>
          <c:idx val="8"/>
          <c:order val="8"/>
          <c:tx>
            <c:strRef>
              <c:f>'POWER TEST'!$J$1</c:f>
              <c:strCache>
                <c:ptCount val="1"/>
                <c:pt idx="0">
                  <c:v>TRIAL 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6000"/>
                </a:schemeClr>
              </a:solidFill>
              <a:ln w="9525">
                <a:solidFill>
                  <a:schemeClr val="accent4">
                    <a:tint val="56000"/>
                  </a:schemeClr>
                </a:solidFill>
              </a:ln>
              <a:effectLst/>
            </c:spPr>
          </c:marker>
          <c:xVal>
            <c:strRef>
              <c:f>'POWER TEST'!$A$2:$A$7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'POWER TEST'!$J$2:$J$7</c:f>
              <c:numCache>
                <c:formatCode>0.00</c:formatCode>
                <c:ptCount val="6"/>
                <c:pt idx="0">
                  <c:v>13.9129</c:v>
                </c:pt>
                <c:pt idx="1">
                  <c:v>41.990399999999994</c:v>
                </c:pt>
                <c:pt idx="2">
                  <c:v>97.614400000000003</c:v>
                </c:pt>
                <c:pt idx="3">
                  <c:v>49.843599999999995</c:v>
                </c:pt>
                <c:pt idx="4">
                  <c:v>42.902499999999996</c:v>
                </c:pt>
                <c:pt idx="5">
                  <c:v>157.5025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2F-45BA-B5AF-93145413F1C3}"/>
            </c:ext>
          </c:extLst>
        </c:ser>
        <c:ser>
          <c:idx val="9"/>
          <c:order val="9"/>
          <c:tx>
            <c:strRef>
              <c:f>'POWER TEST'!$K$1</c:f>
              <c:strCache>
                <c:ptCount val="1"/>
                <c:pt idx="0">
                  <c:v>TRIAL 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43000"/>
                </a:schemeClr>
              </a:solidFill>
              <a:ln w="9525">
                <a:solidFill>
                  <a:schemeClr val="accent4">
                    <a:tint val="43000"/>
                  </a:schemeClr>
                </a:solidFill>
              </a:ln>
              <a:effectLst/>
            </c:spPr>
          </c:marker>
          <c:xVal>
            <c:strRef>
              <c:f>'POWER TEST'!$A$2:$A$7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xVal>
          <c:yVal>
            <c:numRef>
              <c:f>'POWER TEST'!$K$2:$K$7</c:f>
              <c:numCache>
                <c:formatCode>0.00</c:formatCode>
                <c:ptCount val="6"/>
                <c:pt idx="0">
                  <c:v>29.702500000000001</c:v>
                </c:pt>
                <c:pt idx="1">
                  <c:v>123.87690000000001</c:v>
                </c:pt>
                <c:pt idx="2">
                  <c:v>13.3225</c:v>
                </c:pt>
                <c:pt idx="3">
                  <c:v>68.0625</c:v>
                </c:pt>
                <c:pt idx="4">
                  <c:v>100.20010000000001</c:v>
                </c:pt>
                <c:pt idx="5">
                  <c:v>72.25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2F-45BA-B5AF-93145413F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317120"/>
        <c:axId val="1322323360"/>
      </c:scatterChart>
      <c:valAx>
        <c:axId val="13223171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crossAx val="1322323360"/>
        <c:crosses val="autoZero"/>
        <c:crossBetween val="midCat"/>
      </c:valAx>
      <c:valAx>
        <c:axId val="132232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MICROWATTS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31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'VOLTAGE REGULATION'!$B$11</c:f>
              <c:strCache>
                <c:ptCount val="1"/>
                <c:pt idx="0">
                  <c:v>No Load Voltage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'VOLTAGE REGULATION'!$A$12:$A$17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cat>
          <c:val>
            <c:numRef>
              <c:f>'VOLTAGE REGULATION'!$B$12:$B$17</c:f>
              <c:numCache>
                <c:formatCode>General</c:formatCode>
                <c:ptCount val="6"/>
                <c:pt idx="0">
                  <c:v>12.440000000000001</c:v>
                </c:pt>
                <c:pt idx="1">
                  <c:v>12.600000000000001</c:v>
                </c:pt>
                <c:pt idx="2">
                  <c:v>12.360000000000001</c:v>
                </c:pt>
                <c:pt idx="3">
                  <c:v>9.91</c:v>
                </c:pt>
                <c:pt idx="4">
                  <c:v>10.318000000000001</c:v>
                </c:pt>
                <c:pt idx="5">
                  <c:v>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D-4862-A8D4-257CC0803A7D}"/>
            </c:ext>
          </c:extLst>
        </c:ser>
        <c:ser>
          <c:idx val="1"/>
          <c:order val="1"/>
          <c:tx>
            <c:strRef>
              <c:f>'VOLTAGE REGULATION'!$C$11</c:f>
              <c:strCache>
                <c:ptCount val="1"/>
                <c:pt idx="0">
                  <c:v>Full Load Voltage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'VOLTAGE REGULATION'!$A$12:$A$17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cat>
          <c:val>
            <c:numRef>
              <c:f>'VOLTAGE REGULATION'!$C$12:$C$17</c:f>
              <c:numCache>
                <c:formatCode>General</c:formatCode>
                <c:ptCount val="6"/>
                <c:pt idx="0">
                  <c:v>10.62</c:v>
                </c:pt>
                <c:pt idx="1">
                  <c:v>10.900000000000002</c:v>
                </c:pt>
                <c:pt idx="2">
                  <c:v>10.889999999999999</c:v>
                </c:pt>
                <c:pt idx="3">
                  <c:v>9.18</c:v>
                </c:pt>
                <c:pt idx="4">
                  <c:v>9.48</c:v>
                </c:pt>
                <c:pt idx="5">
                  <c:v>8.7900000000000009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D-4862-A8D4-257CC0803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19824"/>
        <c:axId val="56518384"/>
      </c:barChart>
      <c:lineChart>
        <c:grouping val="stacked"/>
        <c:varyColors val="0"/>
        <c:ser>
          <c:idx val="2"/>
          <c:order val="2"/>
          <c:tx>
            <c:strRef>
              <c:f>'VOLTAGE REGULATION'!$D$11</c:f>
              <c:strCache>
                <c:ptCount val="1"/>
                <c:pt idx="0">
                  <c:v>Voltage Regulation</c:v>
                </c:pt>
              </c:strCache>
            </c:strRef>
          </c:tx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65000"/>
                </a:schemeClr>
              </a:solidFill>
              <a:ln w="9525">
                <a:solidFill>
                  <a:schemeClr val="accent4">
                    <a:tint val="65000"/>
                  </a:schemeClr>
                </a:solidFill>
              </a:ln>
              <a:effectLst/>
            </c:spPr>
          </c:marker>
          <c:cat>
            <c:strRef>
              <c:f>'VOLTAGE REGULATION'!$A$12:$A$17</c:f>
              <c:strCache>
                <c:ptCount val="6"/>
                <c:pt idx="0">
                  <c:v>1-5 kph</c:v>
                </c:pt>
                <c:pt idx="1">
                  <c:v>6-10 kph</c:v>
                </c:pt>
                <c:pt idx="2">
                  <c:v>11-15 kph</c:v>
                </c:pt>
                <c:pt idx="3">
                  <c:v>16-20 kph</c:v>
                </c:pt>
                <c:pt idx="4">
                  <c:v>21-25 kph</c:v>
                </c:pt>
                <c:pt idx="5">
                  <c:v>26-30 kph</c:v>
                </c:pt>
              </c:strCache>
            </c:strRef>
          </c:cat>
          <c:val>
            <c:numRef>
              <c:f>'VOLTAGE REGULATION'!$D$12:$D$17</c:f>
              <c:numCache>
                <c:formatCode>General</c:formatCode>
                <c:ptCount val="6"/>
                <c:pt idx="0">
                  <c:v>17.137</c:v>
                </c:pt>
                <c:pt idx="1">
                  <c:v>15.596</c:v>
                </c:pt>
                <c:pt idx="2">
                  <c:v>13.497999999999999</c:v>
                </c:pt>
                <c:pt idx="3">
                  <c:v>7.952</c:v>
                </c:pt>
                <c:pt idx="4">
                  <c:v>8.8390000000000004</c:v>
                </c:pt>
                <c:pt idx="5">
                  <c:v>6.0289999999999999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6D-4862-A8D4-257CC0803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044240"/>
        <c:axId val="653041840"/>
      </c:lineChart>
      <c:catAx>
        <c:axId val="5651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8384"/>
        <c:crosses val="autoZero"/>
        <c:auto val="1"/>
        <c:lblAlgn val="ctr"/>
        <c:lblOffset val="100"/>
        <c:noMultiLvlLbl val="0"/>
      </c:catAx>
      <c:valAx>
        <c:axId val="565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9824"/>
        <c:crosses val="autoZero"/>
        <c:crossBetween val="between"/>
      </c:valAx>
      <c:valAx>
        <c:axId val="6530418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44240"/>
        <c:crosses val="max"/>
        <c:crossBetween val="between"/>
      </c:valAx>
      <c:catAx>
        <c:axId val="65304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3041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emf"/><Relationship Id="rId5" Type="http://schemas.openxmlformats.org/officeDocument/2006/relationships/image" Target="../media/image2.emf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0</xdr:row>
      <xdr:rowOff>76200</xdr:rowOff>
    </xdr:from>
    <xdr:to>
      <xdr:col>12</xdr:col>
      <xdr:colOff>518160</xdr:colOff>
      <xdr:row>2</xdr:row>
      <xdr:rowOff>160020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DF372AF-19D0-17D8-0EE4-1A94DA3068E1}"/>
            </a:ext>
          </a:extLst>
        </xdr:cNvPr>
        <xdr:cNvSpPr/>
      </xdr:nvSpPr>
      <xdr:spPr>
        <a:xfrm>
          <a:off x="6111240" y="76200"/>
          <a:ext cx="1722120" cy="449580"/>
        </a:xfrm>
        <a:prstGeom prst="roundRect">
          <a:avLst/>
        </a:prstGeom>
        <a:ln>
          <a:solidFill>
            <a:srgbClr val="CDC800"/>
          </a:solidFill>
        </a:ln>
        <a:effectLst>
          <a:outerShdw blurRad="63500" sx="105000" sy="105000" algn="ctr" rotWithShape="0">
            <a:srgbClr val="FFFF00">
              <a:alpha val="40000"/>
            </a:srgb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RESULTS</a:t>
          </a:r>
        </a:p>
      </xdr:txBody>
    </xdr:sp>
    <xdr:clientData/>
  </xdr:twoCellAnchor>
  <xdr:twoCellAnchor>
    <xdr:from>
      <xdr:col>0</xdr:col>
      <xdr:colOff>190500</xdr:colOff>
      <xdr:row>4</xdr:row>
      <xdr:rowOff>7620</xdr:rowOff>
    </xdr:from>
    <xdr:to>
      <xdr:col>11</xdr:col>
      <xdr:colOff>114300</xdr:colOff>
      <xdr:row>15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38A3472-0AFD-4D8D-A5B4-6E03B19207C0}"/>
            </a:ext>
          </a:extLst>
        </xdr:cNvPr>
        <xdr:cNvSpPr/>
      </xdr:nvSpPr>
      <xdr:spPr>
        <a:xfrm>
          <a:off x="190500" y="739140"/>
          <a:ext cx="6629400" cy="2118360"/>
        </a:xfrm>
        <a:prstGeom prst="roundRect">
          <a:avLst/>
        </a:prstGeom>
        <a:ln>
          <a:solidFill>
            <a:srgbClr val="CDC800"/>
          </a:solidFill>
        </a:ln>
        <a:effectLst>
          <a:outerShdw blurRad="63500" sx="105000" sy="105000" algn="ctr" rotWithShape="0">
            <a:srgbClr val="FFFF00">
              <a:alpha val="40000"/>
            </a:srgb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PH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22860</xdr:colOff>
      <xdr:row>4</xdr:row>
      <xdr:rowOff>15240</xdr:rowOff>
    </xdr:from>
    <xdr:to>
      <xdr:col>22</xdr:col>
      <xdr:colOff>556260</xdr:colOff>
      <xdr:row>15</xdr:row>
      <xdr:rowOff>121920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F422F67-E037-49A5-B817-3C163D11E03D}"/>
            </a:ext>
          </a:extLst>
        </xdr:cNvPr>
        <xdr:cNvSpPr/>
      </xdr:nvSpPr>
      <xdr:spPr>
        <a:xfrm>
          <a:off x="7338060" y="746760"/>
          <a:ext cx="6629400" cy="2118360"/>
        </a:xfrm>
        <a:prstGeom prst="roundRect">
          <a:avLst/>
        </a:prstGeom>
        <a:ln>
          <a:solidFill>
            <a:srgbClr val="CDC800"/>
          </a:solidFill>
        </a:ln>
        <a:effectLst>
          <a:outerShdw blurRad="63500" sx="105000" sy="105000" algn="ctr" rotWithShape="0">
            <a:srgbClr val="FFFF00">
              <a:alpha val="40000"/>
            </a:srgb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PH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160020</xdr:colOff>
      <xdr:row>17</xdr:row>
      <xdr:rowOff>99060</xdr:rowOff>
    </xdr:from>
    <xdr:to>
      <xdr:col>11</xdr:col>
      <xdr:colOff>83820</xdr:colOff>
      <xdr:row>29</xdr:row>
      <xdr:rowOff>22860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55D4F2C-644A-4FA4-9DA4-D2655288074F}"/>
            </a:ext>
          </a:extLst>
        </xdr:cNvPr>
        <xdr:cNvSpPr/>
      </xdr:nvSpPr>
      <xdr:spPr>
        <a:xfrm>
          <a:off x="160020" y="3208020"/>
          <a:ext cx="6629400" cy="2118360"/>
        </a:xfrm>
        <a:prstGeom prst="roundRect">
          <a:avLst/>
        </a:prstGeom>
        <a:ln>
          <a:solidFill>
            <a:srgbClr val="CDC800"/>
          </a:solidFill>
        </a:ln>
        <a:effectLst>
          <a:outerShdw blurRad="63500" sx="105000" sy="105000" algn="ctr" rotWithShape="0">
            <a:srgbClr val="FFFF00">
              <a:alpha val="40000"/>
            </a:srgb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PH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601980</xdr:colOff>
      <xdr:row>17</xdr:row>
      <xdr:rowOff>106680</xdr:rowOff>
    </xdr:from>
    <xdr:to>
      <xdr:col>22</xdr:col>
      <xdr:colOff>525780</xdr:colOff>
      <xdr:row>29</xdr:row>
      <xdr:rowOff>30480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4CB1B78-A378-4A8B-A3D3-EF009B409086}"/>
            </a:ext>
          </a:extLst>
        </xdr:cNvPr>
        <xdr:cNvSpPr/>
      </xdr:nvSpPr>
      <xdr:spPr>
        <a:xfrm>
          <a:off x="7307580" y="3215640"/>
          <a:ext cx="6629400" cy="2118360"/>
        </a:xfrm>
        <a:prstGeom prst="roundRect">
          <a:avLst/>
        </a:prstGeom>
        <a:ln>
          <a:solidFill>
            <a:srgbClr val="CDC800"/>
          </a:solidFill>
        </a:ln>
        <a:effectLst>
          <a:outerShdw blurRad="63500" sx="105000" sy="105000" algn="ctr" rotWithShape="0">
            <a:srgbClr val="FFFF00">
              <a:alpha val="40000"/>
            </a:srgb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PH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190500</xdr:colOff>
      <xdr:row>4</xdr:row>
      <xdr:rowOff>137160</xdr:rowOff>
    </xdr:from>
    <xdr:to>
      <xdr:col>8</xdr:col>
      <xdr:colOff>236220</xdr:colOff>
      <xdr:row>15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FEE264-6313-4756-A3CC-59EA254A5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6</xdr:row>
      <xdr:rowOff>137160</xdr:rowOff>
    </xdr:from>
    <xdr:to>
      <xdr:col>2</xdr:col>
      <xdr:colOff>160020</xdr:colOff>
      <xdr:row>12</xdr:row>
      <xdr:rowOff>121920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6072F35-BBEA-0168-4432-F957EFFCD969}"/>
            </a:ext>
          </a:extLst>
        </xdr:cNvPr>
        <xdr:cNvSpPr/>
      </xdr:nvSpPr>
      <xdr:spPr>
        <a:xfrm>
          <a:off x="266700" y="1234440"/>
          <a:ext cx="1112520" cy="108204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Times New Roman" panose="02020603050405020304" pitchFamily="18" charset="0"/>
              <a:cs typeface="Times New Roman" panose="02020603050405020304" pitchFamily="18" charset="0"/>
            </a:rPr>
            <a:t>SPEED </a:t>
          </a:r>
        </a:p>
        <a:p>
          <a:pPr algn="ctr"/>
          <a:r>
            <a:rPr lang="en-PH" sz="1400" b="1">
              <a:latin typeface="Times New Roman" panose="02020603050405020304" pitchFamily="18" charset="0"/>
              <a:cs typeface="Times New Roman" panose="02020603050405020304" pitchFamily="18" charset="0"/>
            </a:rPr>
            <a:t>VS. </a:t>
          </a:r>
        </a:p>
        <a:p>
          <a:pPr algn="ctr"/>
          <a:r>
            <a:rPr lang="en-PH" sz="1400" b="1">
              <a:latin typeface="Times New Roman" panose="02020603050405020304" pitchFamily="18" charset="0"/>
              <a:cs typeface="Times New Roman" panose="02020603050405020304" pitchFamily="18" charset="0"/>
            </a:rPr>
            <a:t>VOLTAGE ANALYSIS</a:t>
          </a:r>
        </a:p>
      </xdr:txBody>
    </xdr:sp>
    <xdr:clientData/>
  </xdr:twoCellAnchor>
  <xdr:twoCellAnchor>
    <xdr:from>
      <xdr:col>14</xdr:col>
      <xdr:colOff>38100</xdr:colOff>
      <xdr:row>4</xdr:row>
      <xdr:rowOff>68580</xdr:rowOff>
    </xdr:from>
    <xdr:to>
      <xdr:col>20</xdr:col>
      <xdr:colOff>106680</xdr:colOff>
      <xdr:row>15</xdr:row>
      <xdr:rowOff>60960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FA2E266-A3BA-43A9-8CFF-E89952A1A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99060</xdr:colOff>
      <xdr:row>6</xdr:row>
      <xdr:rowOff>121920</xdr:rowOff>
    </xdr:from>
    <xdr:to>
      <xdr:col>13</xdr:col>
      <xdr:colOff>601980</xdr:colOff>
      <xdr:row>12</xdr:row>
      <xdr:rowOff>106680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6652FAB-CF0F-4885-94EA-E3287270CB9B}"/>
            </a:ext>
          </a:extLst>
        </xdr:cNvPr>
        <xdr:cNvSpPr/>
      </xdr:nvSpPr>
      <xdr:spPr>
        <a:xfrm>
          <a:off x="7414260" y="1219200"/>
          <a:ext cx="1112520" cy="108204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Times New Roman" panose="02020603050405020304" pitchFamily="18" charset="0"/>
              <a:cs typeface="Times New Roman" panose="02020603050405020304" pitchFamily="18" charset="0"/>
            </a:rPr>
            <a:t>SPEED </a:t>
          </a:r>
        </a:p>
        <a:p>
          <a:pPr algn="ctr"/>
          <a:r>
            <a:rPr lang="en-PH" sz="1400" b="1">
              <a:latin typeface="Times New Roman" panose="02020603050405020304" pitchFamily="18" charset="0"/>
              <a:cs typeface="Times New Roman" panose="02020603050405020304" pitchFamily="18" charset="0"/>
            </a:rPr>
            <a:t>VS. </a:t>
          </a:r>
        </a:p>
        <a:p>
          <a:pPr algn="ctr"/>
          <a:r>
            <a:rPr lang="en-PH" sz="1400" b="1">
              <a:latin typeface="Times New Roman" panose="02020603050405020304" pitchFamily="18" charset="0"/>
              <a:cs typeface="Times New Roman" panose="02020603050405020304" pitchFamily="18" charset="0"/>
            </a:rPr>
            <a:t>POWER ANALYSIS</a:t>
          </a:r>
        </a:p>
      </xdr:txBody>
    </xdr:sp>
    <xdr:clientData/>
  </xdr:twoCellAnchor>
  <xdr:twoCellAnchor editAs="oneCell">
    <xdr:from>
      <xdr:col>8</xdr:col>
      <xdr:colOff>228600</xdr:colOff>
      <xdr:row>5</xdr:row>
      <xdr:rowOff>22860</xdr:rowOff>
    </xdr:from>
    <xdr:to>
      <xdr:col>11</xdr:col>
      <xdr:colOff>129540</xdr:colOff>
      <xdr:row>14</xdr:row>
      <xdr:rowOff>38100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59D30B7-BFAB-4A32-97E3-E99293D4B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937260"/>
          <a:ext cx="1729740" cy="166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205740</xdr:colOff>
      <xdr:row>20</xdr:row>
      <xdr:rowOff>30480</xdr:rowOff>
    </xdr:from>
    <xdr:to>
      <xdr:col>2</xdr:col>
      <xdr:colOff>419100</xdr:colOff>
      <xdr:row>26</xdr:row>
      <xdr:rowOff>15240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E0FA10D-FCDE-4384-9405-FC7A38C4E697}"/>
            </a:ext>
          </a:extLst>
        </xdr:cNvPr>
        <xdr:cNvSpPr/>
      </xdr:nvSpPr>
      <xdr:spPr>
        <a:xfrm>
          <a:off x="205740" y="3688080"/>
          <a:ext cx="1432560" cy="108204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Times New Roman" panose="02020603050405020304" pitchFamily="18" charset="0"/>
              <a:cs typeface="Times New Roman" panose="02020603050405020304" pitchFamily="18" charset="0"/>
            </a:rPr>
            <a:t>VOLTAGE</a:t>
          </a:r>
          <a:r>
            <a:rPr lang="en-PH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REGULATION</a:t>
          </a:r>
        </a:p>
      </xdr:txBody>
    </xdr:sp>
    <xdr:clientData/>
  </xdr:twoCellAnchor>
  <xdr:twoCellAnchor>
    <xdr:from>
      <xdr:col>2</xdr:col>
      <xdr:colOff>342901</xdr:colOff>
      <xdr:row>18</xdr:row>
      <xdr:rowOff>0</xdr:rowOff>
    </xdr:from>
    <xdr:to>
      <xdr:col>8</xdr:col>
      <xdr:colOff>548640</xdr:colOff>
      <xdr:row>28</xdr:row>
      <xdr:rowOff>172686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86611C4-C64C-483E-92EE-4D018AA11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18</xdr:row>
      <xdr:rowOff>144780</xdr:rowOff>
    </xdr:from>
    <xdr:to>
      <xdr:col>11</xdr:col>
      <xdr:colOff>60960</xdr:colOff>
      <xdr:row>27</xdr:row>
      <xdr:rowOff>167640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C6A9A0B-5B8C-4C0A-83AF-C420B89C8494}"/>
            </a:ext>
          </a:extLst>
        </xdr:cNvPr>
        <xdr:cNvSpPr/>
      </xdr:nvSpPr>
      <xdr:spPr>
        <a:xfrm>
          <a:off x="5486400" y="3436620"/>
          <a:ext cx="1280160" cy="166878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b="1">
              <a:latin typeface="+mn-lt"/>
              <a:cs typeface="Times New Roman" panose="02020603050405020304" pitchFamily="18" charset="0"/>
            </a:rPr>
            <a:t>Conclusion:</a:t>
          </a:r>
        </a:p>
        <a:p>
          <a:pPr algn="ctr"/>
          <a:r>
            <a:rPr lang="en-PH" sz="1100" b="0">
              <a:latin typeface="+mn-lt"/>
              <a:cs typeface="Times New Roman" panose="02020603050405020304" pitchFamily="18" charset="0"/>
            </a:rPr>
            <a:t>As Speed</a:t>
          </a:r>
          <a:r>
            <a:rPr lang="en-PH" sz="1100" b="0" baseline="0">
              <a:latin typeface="+mn-lt"/>
              <a:cs typeface="Times New Roman" panose="02020603050405020304" pitchFamily="18" charset="0"/>
            </a:rPr>
            <a:t> Increases, Voltage Regulation Decreases. The Higher the Speed, Better the Voltage Regulation.</a:t>
          </a:r>
          <a:endParaRPr lang="en-PH" sz="1100" b="0">
            <a:latin typeface="+mn-lt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45720</xdr:colOff>
      <xdr:row>18</xdr:row>
      <xdr:rowOff>144780</xdr:rowOff>
    </xdr:from>
    <xdr:to>
      <xdr:col>14</xdr:col>
      <xdr:colOff>22860</xdr:colOff>
      <xdr:row>27</xdr:row>
      <xdr:rowOff>167640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0539B24-51D9-43C0-AAA0-84CAE4ADBAC5}"/>
            </a:ext>
          </a:extLst>
        </xdr:cNvPr>
        <xdr:cNvSpPr/>
      </xdr:nvSpPr>
      <xdr:spPr>
        <a:xfrm>
          <a:off x="7360920" y="3436620"/>
          <a:ext cx="1196340" cy="166878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Times New Roman" panose="02020603050405020304" pitchFamily="18" charset="0"/>
              <a:cs typeface="Times New Roman" panose="02020603050405020304" pitchFamily="18" charset="0"/>
            </a:rPr>
            <a:t>Professionals and End-User</a:t>
          </a:r>
          <a:r>
            <a:rPr lang="en-PH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Prototype Evaluation</a:t>
          </a:r>
        </a:p>
      </xdr:txBody>
    </xdr:sp>
    <xdr:clientData/>
  </xdr:twoCellAnchor>
  <xdr:twoCellAnchor editAs="oneCell">
    <xdr:from>
      <xdr:col>14</xdr:col>
      <xdr:colOff>7619</xdr:colOff>
      <xdr:row>18</xdr:row>
      <xdr:rowOff>160020</xdr:rowOff>
    </xdr:from>
    <xdr:to>
      <xdr:col>22</xdr:col>
      <xdr:colOff>484108</xdr:colOff>
      <xdr:row>27</xdr:row>
      <xdr:rowOff>91440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83C73A6-DA72-4AA8-A7B9-4BB53AE99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2019" y="3451860"/>
          <a:ext cx="5353289" cy="157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76200</xdr:colOff>
      <xdr:row>5</xdr:row>
      <xdr:rowOff>38100</xdr:rowOff>
    </xdr:from>
    <xdr:to>
      <xdr:col>22</xdr:col>
      <xdr:colOff>586740</xdr:colOff>
      <xdr:row>14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DD593A-F1E2-49EC-AD81-E20600148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8200" y="952500"/>
          <a:ext cx="1729740" cy="1691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0.84844</cdr:y>
    </cdr:from>
    <cdr:to>
      <cdr:x>1</cdr:x>
      <cdr:y>0.96063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EB84DE3C-1087-92AD-49A8-A89D139A1F6C}"/>
            </a:ext>
          </a:extLst>
        </cdr:cNvPr>
        <cdr:cNvSpPr txBox="1"/>
      </cdr:nvSpPr>
      <cdr:spPr>
        <a:xfrm xmlns:a="http://schemas.openxmlformats.org/drawingml/2006/main">
          <a:off x="0" y="1642148"/>
          <a:ext cx="3086100" cy="21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700" kern="1200" baseline="0"/>
            <a:t>                                   </a:t>
          </a:r>
          <a:r>
            <a:rPr lang="en-PH" sz="700" kern="1200"/>
            <a:t>1-5 kph</a:t>
          </a:r>
          <a:r>
            <a:rPr lang="en-PH" sz="700" kern="1200" baseline="0"/>
            <a:t>          </a:t>
          </a:r>
          <a:r>
            <a:rPr lang="en-PH" sz="700" kern="1200"/>
            <a:t>6-10kph        11-15kph        16-20kph      21-25kph</a:t>
          </a:r>
          <a:r>
            <a:rPr lang="en-PH" sz="700" kern="1200" baseline="0"/>
            <a:t>        26-30kph</a:t>
          </a:r>
          <a:endParaRPr lang="en-PH" sz="7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0.0019</cdr:x>
      <cdr:y>0.76135</cdr:y>
    </cdr:from>
    <cdr:to>
      <cdr:x>0.99619</cdr:x>
      <cdr:y>0.87222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990195A-BA65-7614-EC43-03A4FA187D8F}"/>
            </a:ext>
          </a:extLst>
        </cdr:cNvPr>
        <cdr:cNvSpPr txBox="1"/>
      </cdr:nvSpPr>
      <cdr:spPr>
        <a:xfrm xmlns:a="http://schemas.openxmlformats.org/drawingml/2006/main">
          <a:off x="7620" y="1490980"/>
          <a:ext cx="3977640" cy="2171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700" kern="1200" baseline="0"/>
            <a:t>                                   </a:t>
          </a:r>
          <a:r>
            <a:rPr lang="en-PH" sz="700" kern="1200"/>
            <a:t>1-5 kph</a:t>
          </a:r>
          <a:r>
            <a:rPr lang="en-PH" sz="700" kern="1200" baseline="0"/>
            <a:t>          </a:t>
          </a:r>
          <a:r>
            <a:rPr lang="en-PH" sz="700" kern="1200"/>
            <a:t>6-10kph        11-15kph      16-20kph     21-25kph</a:t>
          </a:r>
          <a:r>
            <a:rPr lang="en-PH" sz="700" kern="1200" baseline="0"/>
            <a:t>       26-30kph</a:t>
          </a:r>
          <a:endParaRPr lang="en-PH" sz="7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480060</xdr:colOff>
      <xdr:row>37</xdr:row>
      <xdr:rowOff>114300</xdr:rowOff>
    </xdr:from>
    <xdr:to>
      <xdr:col>18</xdr:col>
      <xdr:colOff>605856</xdr:colOff>
      <xdr:row>38</xdr:row>
      <xdr:rowOff>106683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A23832FF-E5F4-284E-3738-9D3FDE993A38}"/>
            </a:ext>
          </a:extLst>
        </xdr:cNvPr>
        <xdr:cNvSpPr txBox="1"/>
      </xdr:nvSpPr>
      <xdr:spPr>
        <a:xfrm>
          <a:off x="6934200" y="6880860"/>
          <a:ext cx="4255836" cy="175263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PH" sz="900" kern="1200"/>
            <a:t>                 1-5 kph</a:t>
          </a:r>
          <a:r>
            <a:rPr lang="en-PH" sz="900" kern="1200" baseline="0"/>
            <a:t>         </a:t>
          </a:r>
          <a:r>
            <a:rPr lang="en-PH" sz="900" kern="1200"/>
            <a:t>6-10kph         11-15kph      16-20kph         21-25kph</a:t>
          </a:r>
          <a:r>
            <a:rPr lang="en-PH" sz="900" kern="1200" baseline="0"/>
            <a:t>       26-30kph</a:t>
          </a:r>
          <a:endParaRPr lang="en-PH" sz="900" kern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BF8802-A57F-49CE-896F-F84D1D489BB4}" name="Table3" displayName="Table3" ref="A1:K11" totalsRowShown="0" headerRowDxfId="81" dataDxfId="80">
  <autoFilter ref="A1:K11" xr:uid="{F7BF8802-A57F-49CE-896F-F84D1D489B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F28BD46-4F2B-4E95-B959-5352CAB27F3D}" name=" # OF STACKS" dataDxfId="79"/>
    <tableColumn id="2" xr3:uid="{E6D3B390-5598-4A91-A49F-91AB8E675E37}" name="TRIAL 1" dataDxfId="78"/>
    <tableColumn id="3" xr3:uid="{7067DD12-4ADE-4386-9992-39F09AA51A28}" name="TRIAL 2" dataDxfId="77"/>
    <tableColumn id="4" xr3:uid="{580D8B19-E195-4FD7-B28F-E294829E376E}" name="TRIAL 3" dataDxfId="76"/>
    <tableColumn id="5" xr3:uid="{4FA55F96-343D-43AE-84DB-9D339FCCAD82}" name="TRIAL 4" dataDxfId="75"/>
    <tableColumn id="6" xr3:uid="{69E13381-3521-4BB2-8396-1030495D02B8}" name="TRIAL 5" dataDxfId="74"/>
    <tableColumn id="7" xr3:uid="{8F7716FC-FB78-4B51-BDB3-2F418123C186}" name="TRIAL 6" dataDxfId="73"/>
    <tableColumn id="8" xr3:uid="{68079EED-8E99-485D-915E-9D4322A6520A}" name="TRIAL 7" dataDxfId="72"/>
    <tableColumn id="9" xr3:uid="{4489F362-64C2-496B-8D8D-68F19A60CD01}" name="TRIAL 8" dataDxfId="71"/>
    <tableColumn id="10" xr3:uid="{90CEE5A8-8AD4-437C-9AB3-ACCDAA23DD1C}" name="TRIAL 9" dataDxfId="70"/>
    <tableColumn id="11" xr3:uid="{A1D2CF8B-FC84-4413-8611-D4AEDD72934E}" name="TRIAL 10" dataDxfId="6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D0A02E-EE2C-4704-B63B-C8C710E49401}" name="Table9" displayName="Table9" ref="A1:K7" totalsRowShown="0" headerRowDxfId="68" dataDxfId="66" headerRowBorderDxfId="67">
  <autoFilter ref="A1:K7" xr:uid="{83D0A02E-EE2C-4704-B63B-C8C710E494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5CD70D2-3AFE-4733-9DAB-4AAED89F5B14}" name="SPEED" dataDxfId="65"/>
    <tableColumn id="2" xr3:uid="{601F3DA1-AE44-4557-90ED-38C507F2E207}" name="TRIAL 1" dataDxfId="64"/>
    <tableColumn id="3" xr3:uid="{77509D92-B5BD-45AE-A15A-FB1E35B40433}" name="TRIAL 2" dataDxfId="63"/>
    <tableColumn id="4" xr3:uid="{86979458-08C1-4AE2-B61A-E93DA7BD7957}" name="TRIAL 3" dataDxfId="62"/>
    <tableColumn id="5" xr3:uid="{492EE272-73D4-431E-80A0-DDA3A5B68B05}" name="TRIAL 4" dataDxfId="61"/>
    <tableColumn id="6" xr3:uid="{13C7E45D-59E2-4072-A25E-CE094B25A2B7}" name="TRIAL 5" dataDxfId="60"/>
    <tableColumn id="7" xr3:uid="{CA35DA0A-22E4-49C4-B725-BE79FC1AA3C4}" name="TRIAL 6" dataDxfId="59"/>
    <tableColumn id="8" xr3:uid="{1C599474-1C07-4618-A3E0-F3F536FC02BB}" name="TRIAL 7" dataDxfId="58"/>
    <tableColumn id="9" xr3:uid="{BF259E51-8B5A-41A3-8A55-8B5BA22DD3F0}" name="TRIAL 8" dataDxfId="57"/>
    <tableColumn id="10" xr3:uid="{D156B991-0183-416C-BA8D-E88B3775F9AB}" name="TRIAL 9" dataDxfId="56"/>
    <tableColumn id="11" xr3:uid="{70FBDC7F-36FE-4FBB-B7B8-65511E643333}" name="TRIAL 10" dataDxfId="5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1056C53-8CB6-4B50-887B-98DD17DBBB90}" name="Table19" displayName="Table19" ref="A2:K6" totalsRowShown="0" headerRowDxfId="54" dataDxfId="52" headerRowBorderDxfId="53">
  <autoFilter ref="A2:K6" xr:uid="{E1056C53-8CB6-4B50-887B-98DD17DBBB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EC37281-064A-4B69-A2A5-20C29EEDEA1B}" name="CRITERIA" dataDxfId="51"/>
    <tableColumn id="2" xr3:uid="{C5C17278-D9F9-4723-8B28-7E71807CE8B5}" name="R1" dataDxfId="50"/>
    <tableColumn id="3" xr3:uid="{ABBA8C65-38C5-4F00-B72D-5541CD778E70}" name="R2" dataDxfId="49"/>
    <tableColumn id="4" xr3:uid="{2C47A587-2879-4A82-9D81-1E91C2BAE188}" name="R3" dataDxfId="48"/>
    <tableColumn id="5" xr3:uid="{D8889A45-4D33-4201-B360-2F9E710A64FC}" name="R4" dataDxfId="47"/>
    <tableColumn id="6" xr3:uid="{0153A1CA-4EC2-4574-A57A-D581C785E568}" name="R5" dataDxfId="46"/>
    <tableColumn id="7" xr3:uid="{A4BE270C-4505-4A96-908F-0D60FD82A405}" name="R6" dataDxfId="45"/>
    <tableColumn id="8" xr3:uid="{CC4B467E-4FE5-41DC-A89C-25E82FD1D85E}" name="R7" dataDxfId="44"/>
    <tableColumn id="9" xr3:uid="{52208DB3-8E97-4405-A82C-155950EEA8B0}" name="R8" dataDxfId="43"/>
    <tableColumn id="10" xr3:uid="{B78822C5-6CF9-4363-BE24-34ACB4097019}" name="R9" dataDxfId="42"/>
    <tableColumn id="11" xr3:uid="{759F6E0A-DE3C-4927-A41F-7637CFA04B49}" name="R10" dataDxfId="4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CA0A703-9097-44A5-A579-5BE04AB133E9}" name="Table20" displayName="Table20" ref="A8:K12" totalsRowShown="0" headerRowDxfId="40" dataDxfId="38" headerRowBorderDxfId="39">
  <autoFilter ref="A8:K12" xr:uid="{FCA0A703-9097-44A5-A579-5BE04AB133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A633377-A716-4EA7-91B2-4DECCBECD8DB}" name="CRITERIA" dataDxfId="37"/>
    <tableColumn id="2" xr3:uid="{7ECE7028-17DD-4C88-9D82-B4D248DDED4F}" name="R11" dataDxfId="36"/>
    <tableColumn id="3" xr3:uid="{09AB2705-AA42-4A0F-9516-905D6670AEB6}" name="R12" dataDxfId="35"/>
    <tableColumn id="4" xr3:uid="{78032A43-17A1-4E01-8C42-1F41464511C6}" name="R13" dataDxfId="34"/>
    <tableColumn id="5" xr3:uid="{9B7B3A42-3D50-4BE4-979D-237FC14691B6}" name="R14" dataDxfId="33"/>
    <tableColumn id="6" xr3:uid="{3ED93D18-1749-45CE-BA3A-7F19EBF7555C}" name="R15" dataDxfId="32"/>
    <tableColumn id="7" xr3:uid="{5FA44217-952F-4564-B005-3869C46B756C}" name="R16" dataDxfId="31"/>
    <tableColumn id="8" xr3:uid="{4F957A00-3D9F-42F4-B5FE-3FDCF4EFCC74}" name="R17" dataDxfId="30"/>
    <tableColumn id="9" xr3:uid="{539233AC-B3DD-4F3A-B50D-F8D8980F26DA}" name="R18" dataDxfId="29"/>
    <tableColumn id="10" xr3:uid="{FA650EBA-344C-4B39-B4F8-0A849915649D}" name="R19" dataDxfId="28"/>
    <tableColumn id="11" xr3:uid="{E3E18EFC-8F30-4409-8A12-8EC51B6C3BEB}" name="R20" dataDxfId="2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E77232A-993A-4E99-BB32-6967294B2012}" name="Table21" displayName="Table21" ref="M2:O7" totalsRowShown="0" headerRowDxfId="26" dataDxfId="24" headerRowBorderDxfId="25">
  <autoFilter ref="M2:O7" xr:uid="{1E77232A-993A-4E99-BB32-6967294B2012}">
    <filterColumn colId="0" hiddenButton="1"/>
    <filterColumn colId="1" hiddenButton="1"/>
    <filterColumn colId="2" hiddenButton="1"/>
  </autoFilter>
  <tableColumns count="3">
    <tableColumn id="1" xr3:uid="{1170D7E1-6489-4E31-AC66-9C003322581F}" name="CRITERIA" dataDxfId="23"/>
    <tableColumn id="2" xr3:uid="{3A452845-F979-4713-9085-D604A6DA81D3}" name="Weighted Average" dataDxfId="22"/>
    <tableColumn id="3" xr3:uid="{6071B78B-7730-4729-8AA0-EE1512A4FB10}" name="Interpretation" dataDxfId="2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C8F8CBB-A109-48B2-B808-5854C23DE081}" name="Table25" displayName="Table25" ref="A1:L7" totalsRowShown="0" headerRowDxfId="20" dataDxfId="19">
  <autoFilter ref="A1:L7" xr:uid="{9C8F8CBB-A109-48B2-B808-5854C23DE0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5F936D2F-5AD3-4ADF-9ECF-71A7A1285C0A}" name="SPEED" dataDxfId="18"/>
    <tableColumn id="2" xr3:uid="{C97092DB-D98A-4180-BD37-BA51D16F082D}" name="TRIAL 1" dataDxfId="17"/>
    <tableColumn id="3" xr3:uid="{ED67E471-AF4F-4581-85AD-A1631B60A89B}" name="TRIAL 2" dataDxfId="16"/>
    <tableColumn id="4" xr3:uid="{1F88F524-D122-4A97-ACF2-FD4180B8F4BD}" name="TRIAL 3" dataDxfId="15"/>
    <tableColumn id="5" xr3:uid="{A0F79BD8-0246-4912-B9F0-04898A1232F4}" name="TRIAL 4" dataDxfId="14"/>
    <tableColumn id="6" xr3:uid="{59455D0A-77BB-4EFC-9529-594010F648C9}" name="TRIAL 5" dataDxfId="13"/>
    <tableColumn id="7" xr3:uid="{12BE12DB-54CC-49B5-97EF-67C744937EE3}" name="TRIAL 6" dataDxfId="12"/>
    <tableColumn id="8" xr3:uid="{2FABD1EF-C041-4ADA-9EE5-5D24417F67C7}" name="TRIAL 7" dataDxfId="11"/>
    <tableColumn id="9" xr3:uid="{0479CA14-DB67-41D1-A100-4F046ACCAA3B}" name="TRIAL 8" dataDxfId="10"/>
    <tableColumn id="10" xr3:uid="{5A3C7EAF-9872-46F6-8597-DB60ED353D01}" name="TRIAL 9" dataDxfId="9"/>
    <tableColumn id="11" xr3:uid="{30A8D762-17AF-4F79-A9A4-D6AE4B41396B}" name="TRIAL 10" dataDxfId="8"/>
    <tableColumn id="12" xr3:uid="{002E5EC5-C350-4CAE-9ADC-E920CABB1CA0}" name="Average" dataDxfId="7">
      <calculatedColumnFormula>AVERAGE(Table25[[#This Row],[TRIAL 1]:[TRIAL 10]])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70AA8F9-8D58-4741-9B9C-1CB1714B4291}" name="Table26" displayName="Table26" ref="A11:D17" totalsRowShown="0" headerRowDxfId="6" dataDxfId="4" headerRowBorderDxfId="5">
  <autoFilter ref="A11:D17" xr:uid="{170AA8F9-8D58-4741-9B9C-1CB1714B4291}">
    <filterColumn colId="0" hiddenButton="1"/>
    <filterColumn colId="1" hiddenButton="1"/>
    <filterColumn colId="2" hiddenButton="1"/>
    <filterColumn colId="3" hiddenButton="1"/>
  </autoFilter>
  <tableColumns count="4">
    <tableColumn id="1" xr3:uid="{E37DE6CD-0916-4810-A82E-A0046939494D}" name="SPEED" dataDxfId="3"/>
    <tableColumn id="2" xr3:uid="{38578F48-49BC-41F8-AFD9-9CA81314AC7D}" name="No Load Voltage" dataDxfId="2">
      <calculatedColumnFormula>O2</calculatedColumnFormula>
    </tableColumn>
    <tableColumn id="3" xr3:uid="{8897E25A-211C-4F45-8C79-87CC86CB329B}" name="Full Load Voltage" dataDxfId="1">
      <calculatedColumnFormula>L2</calculatedColumnFormula>
    </tableColumn>
    <tableColumn id="4" xr3:uid="{05A6F124-C13C-43B9-A49E-7A466D098D1D}" name="Voltage Regulation" dataDxfId="0">
      <calculatedColumnFormula>Q2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0A91-4782-4743-B178-B2A99AEE1B12}">
  <dimension ref="B1:C9"/>
  <sheetViews>
    <sheetView showGridLines="0" zoomScale="140" zoomScaleNormal="140" workbookViewId="0">
      <selection activeCell="B1" sqref="B1:C9"/>
    </sheetView>
  </sheetViews>
  <sheetFormatPr defaultRowHeight="14.4" x14ac:dyDescent="0.3"/>
  <cols>
    <col min="2" max="2" width="4" customWidth="1"/>
    <col min="3" max="3" width="97.21875" bestFit="1" customWidth="1"/>
  </cols>
  <sheetData>
    <row r="1" spans="2:3" x14ac:dyDescent="0.3">
      <c r="B1" s="32" t="s">
        <v>70</v>
      </c>
      <c r="C1" s="32"/>
    </row>
    <row r="2" spans="2:3" x14ac:dyDescent="0.3">
      <c r="B2" s="32"/>
      <c r="C2" s="32"/>
    </row>
    <row r="4" spans="2:3" x14ac:dyDescent="0.3">
      <c r="B4" s="32" t="s">
        <v>66</v>
      </c>
      <c r="C4" s="33"/>
    </row>
    <row r="6" spans="2:3" x14ac:dyDescent="0.3">
      <c r="B6" t="str" cm="1">
        <f t="array" ref="B6:B9">_xlfn.SEQUENCE(4)&amp;"."</f>
        <v>1.</v>
      </c>
      <c r="C6" t="s">
        <v>67</v>
      </c>
    </row>
    <row r="7" spans="2:3" x14ac:dyDescent="0.3">
      <c r="B7" t="str">
        <v>2.</v>
      </c>
      <c r="C7" t="s">
        <v>68</v>
      </c>
    </row>
    <row r="8" spans="2:3" x14ac:dyDescent="0.3">
      <c r="B8" t="str">
        <v>3.</v>
      </c>
      <c r="C8" t="s">
        <v>94</v>
      </c>
    </row>
    <row r="9" spans="2:3" x14ac:dyDescent="0.3">
      <c r="B9" t="str">
        <v>4.</v>
      </c>
      <c r="C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34D79-5C9E-423F-BCE6-9C7FA14562D7}">
  <sheetPr>
    <pageSetUpPr autoPageBreaks="0"/>
  </sheetPr>
  <dimension ref="A1:AA44"/>
  <sheetViews>
    <sheetView showGridLines="0" showRowColHeaders="0" zoomScaleNormal="100" workbookViewId="0">
      <selection activeCell="V6" sqref="V6"/>
    </sheetView>
  </sheetViews>
  <sheetFormatPr defaultRowHeight="14.4" x14ac:dyDescent="0.3"/>
  <sheetData>
    <row r="1" spans="1:27" x14ac:dyDescent="0.3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1"/>
      <c r="Z1" s="41"/>
      <c r="AA1" s="41"/>
    </row>
    <row r="2" spans="1:27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1"/>
      <c r="Z2" s="41"/>
      <c r="AA2" s="41"/>
    </row>
    <row r="3" spans="1:27" x14ac:dyDescent="0.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1"/>
      <c r="Z3" s="41"/>
      <c r="AA3" s="41"/>
    </row>
    <row r="4" spans="1:27" x14ac:dyDescent="0.3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1"/>
      <c r="Z4" s="41"/>
      <c r="AA4" s="41"/>
    </row>
    <row r="5" spans="1:27" x14ac:dyDescent="0.3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1"/>
      <c r="Z5" s="41"/>
      <c r="AA5" s="41"/>
    </row>
    <row r="6" spans="1:27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1"/>
      <c r="Z6" s="41"/>
      <c r="AA6" s="41"/>
    </row>
    <row r="7" spans="1:27" x14ac:dyDescent="0.3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1"/>
      <c r="Z7" s="41"/>
      <c r="AA7" s="41"/>
    </row>
    <row r="8" spans="1:27" x14ac:dyDescent="0.3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1"/>
      <c r="Z8" s="41"/>
      <c r="AA8" s="41"/>
    </row>
    <row r="9" spans="1:27" x14ac:dyDescent="0.3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1"/>
      <c r="Z9" s="41"/>
      <c r="AA9" s="41"/>
    </row>
    <row r="10" spans="1:27" x14ac:dyDescent="0.3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1"/>
      <c r="Z10" s="41"/>
      <c r="AA10" s="41"/>
    </row>
    <row r="11" spans="1:27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1"/>
      <c r="Z11" s="41"/>
      <c r="AA11" s="41"/>
    </row>
    <row r="12" spans="1:27" x14ac:dyDescent="0.3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1"/>
      <c r="Z12" s="41"/>
      <c r="AA12" s="41"/>
    </row>
    <row r="13" spans="1:27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1"/>
      <c r="Z13" s="41"/>
      <c r="AA13" s="41"/>
    </row>
    <row r="14" spans="1:27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1"/>
      <c r="Z14" s="41"/>
      <c r="AA14" s="41"/>
    </row>
    <row r="15" spans="1:27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1"/>
      <c r="Z15" s="41"/>
      <c r="AA15" s="41"/>
    </row>
    <row r="16" spans="1:27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1"/>
      <c r="Z16" s="41"/>
      <c r="AA16" s="41"/>
    </row>
    <row r="17" spans="1:27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1"/>
      <c r="Z17" s="41"/>
      <c r="AA17" s="41"/>
    </row>
    <row r="18" spans="1:27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1"/>
      <c r="Z18" s="41"/>
      <c r="AA18" s="41"/>
    </row>
    <row r="19" spans="1:27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1"/>
      <c r="Z19" s="41"/>
      <c r="AA19" s="41"/>
    </row>
    <row r="20" spans="1:2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1"/>
      <c r="Z20" s="41"/>
      <c r="AA20" s="41"/>
    </row>
    <row r="21" spans="1:27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1"/>
      <c r="Z21" s="41"/>
      <c r="AA21" s="41"/>
    </row>
    <row r="22" spans="1:27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1"/>
      <c r="Z22" s="41"/>
      <c r="AA22" s="41"/>
    </row>
    <row r="23" spans="1:27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1"/>
      <c r="Z23" s="41"/>
      <c r="AA23" s="41"/>
    </row>
    <row r="24" spans="1:27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1"/>
      <c r="Z24" s="41"/>
      <c r="AA24" s="41"/>
    </row>
    <row r="25" spans="1:27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1"/>
      <c r="Z25" s="41"/>
      <c r="AA25" s="41"/>
    </row>
    <row r="26" spans="1:27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1"/>
      <c r="Z26" s="41"/>
      <c r="AA26" s="41"/>
    </row>
    <row r="27" spans="1:27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1"/>
      <c r="Z27" s="41"/>
      <c r="AA27" s="41"/>
    </row>
    <row r="28" spans="1:27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1"/>
      <c r="Z28" s="41"/>
      <c r="AA28" s="41"/>
    </row>
    <row r="29" spans="1:27" x14ac:dyDescent="0.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1"/>
      <c r="Z29" s="41"/>
      <c r="AA29" s="41"/>
    </row>
    <row r="30" spans="1:27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1"/>
      <c r="Z30" s="41"/>
      <c r="AA30" s="41"/>
    </row>
    <row r="31" spans="1:27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1"/>
      <c r="Z31" s="41"/>
      <c r="AA31" s="41"/>
    </row>
    <row r="32" spans="1:27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1"/>
      <c r="Z32" s="41"/>
      <c r="AA32" s="41"/>
    </row>
    <row r="33" spans="1:27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1"/>
      <c r="Z33" s="41"/>
      <c r="AA33" s="41"/>
    </row>
    <row r="34" spans="1:27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1"/>
      <c r="Z34" s="41"/>
      <c r="AA34" s="41"/>
    </row>
    <row r="35" spans="1:27" x14ac:dyDescent="0.3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1:27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spans="1:27" x14ac:dyDescent="0.3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spans="1:27" x14ac:dyDescent="0.3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spans="1:27" x14ac:dyDescent="0.3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spans="1:27" x14ac:dyDescent="0.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spans="1:27" x14ac:dyDescent="0.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spans="1:27" x14ac:dyDescent="0.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spans="1:27" x14ac:dyDescent="0.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spans="1:27" x14ac:dyDescent="0.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6F5B-2C65-45BB-A672-B4A782FE70D6}">
  <dimension ref="A1:K35"/>
  <sheetViews>
    <sheetView showGridLines="0" zoomScale="82" zoomScaleNormal="82" workbookViewId="0">
      <selection activeCell="M25" sqref="M25"/>
    </sheetView>
  </sheetViews>
  <sheetFormatPr defaultRowHeight="14.4" x14ac:dyDescent="0.3"/>
  <cols>
    <col min="1" max="1" width="15" bestFit="1" customWidth="1"/>
    <col min="2" max="10" width="8.88671875" bestFit="1" customWidth="1"/>
    <col min="11" max="11" width="10" bestFit="1" customWidth="1"/>
    <col min="24" max="24" width="15" bestFit="1" customWidth="1"/>
    <col min="29" max="29" width="10" bestFit="1" customWidth="1"/>
    <col min="34" max="34" width="10" bestFit="1" customWidth="1"/>
  </cols>
  <sheetData>
    <row r="1" spans="1:11" ht="15.6" x14ac:dyDescent="0.3">
      <c r="A1" s="5" t="s">
        <v>15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</row>
    <row r="2" spans="1:11" ht="15.6" x14ac:dyDescent="0.3">
      <c r="A2" s="4">
        <v>1</v>
      </c>
      <c r="B2" s="4">
        <v>18</v>
      </c>
      <c r="C2" s="4">
        <v>18.2</v>
      </c>
      <c r="D2" s="4">
        <v>16.600000000000001</v>
      </c>
      <c r="E2" s="4">
        <v>18.3</v>
      </c>
      <c r="F2" s="4">
        <v>13.6</v>
      </c>
      <c r="G2" s="4">
        <v>19.8</v>
      </c>
      <c r="H2" s="4">
        <v>18.2</v>
      </c>
      <c r="I2" s="4">
        <v>16.2</v>
      </c>
      <c r="J2" s="4">
        <v>19.3</v>
      </c>
      <c r="K2" s="4">
        <v>16.7</v>
      </c>
    </row>
    <row r="3" spans="1:11" ht="15.6" x14ac:dyDescent="0.3">
      <c r="A3" s="4">
        <v>2</v>
      </c>
      <c r="B3" s="4">
        <v>17.2</v>
      </c>
      <c r="C3" s="4">
        <v>14.2</v>
      </c>
      <c r="D3" s="4">
        <v>15.6</v>
      </c>
      <c r="E3" s="4">
        <v>11.3</v>
      </c>
      <c r="F3" s="4">
        <v>14</v>
      </c>
      <c r="G3" s="4">
        <v>9.6999999999999993</v>
      </c>
      <c r="H3" s="4">
        <v>13.5</v>
      </c>
      <c r="I3" s="4">
        <v>15</v>
      </c>
      <c r="J3" s="4">
        <v>17.8</v>
      </c>
      <c r="K3" s="4">
        <v>12</v>
      </c>
    </row>
    <row r="4" spans="1:11" ht="15.6" x14ac:dyDescent="0.3">
      <c r="A4" s="4">
        <v>3</v>
      </c>
      <c r="B4" s="4">
        <v>14.8</v>
      </c>
      <c r="C4" s="4">
        <v>14.6</v>
      </c>
      <c r="D4" s="4">
        <v>18.7</v>
      </c>
      <c r="E4" s="4">
        <v>18.2</v>
      </c>
      <c r="F4" s="4">
        <v>16.899999999999999</v>
      </c>
      <c r="G4" s="4">
        <v>16</v>
      </c>
      <c r="H4" s="4">
        <v>16.600000000000001</v>
      </c>
      <c r="I4" s="4">
        <v>15.7</v>
      </c>
      <c r="J4" s="4">
        <v>13.9</v>
      </c>
      <c r="K4" s="4">
        <v>16.399999999999999</v>
      </c>
    </row>
    <row r="5" spans="1:11" ht="15.6" x14ac:dyDescent="0.3">
      <c r="A5" s="4">
        <v>4</v>
      </c>
      <c r="B5" s="4">
        <v>17</v>
      </c>
      <c r="C5" s="4">
        <v>12</v>
      </c>
      <c r="D5" s="4">
        <v>15.7</v>
      </c>
      <c r="E5" s="4">
        <v>15.3</v>
      </c>
      <c r="F5" s="4">
        <v>14.7</v>
      </c>
      <c r="G5" s="4">
        <v>18.2</v>
      </c>
      <c r="H5" s="4">
        <v>16.8</v>
      </c>
      <c r="I5" s="4">
        <v>18.7</v>
      </c>
      <c r="J5" s="4">
        <v>16.899999999999999</v>
      </c>
      <c r="K5" s="4">
        <v>11.5</v>
      </c>
    </row>
    <row r="6" spans="1:11" ht="15.6" x14ac:dyDescent="0.3">
      <c r="A6" s="4">
        <v>5</v>
      </c>
      <c r="B6" s="4">
        <v>18</v>
      </c>
      <c r="C6" s="4">
        <v>14.6</v>
      </c>
      <c r="D6" s="4">
        <v>13.6</v>
      </c>
      <c r="E6" s="4">
        <v>15.9</v>
      </c>
      <c r="F6" s="4">
        <v>14.9</v>
      </c>
      <c r="G6" s="4">
        <v>13.2</v>
      </c>
      <c r="H6" s="4">
        <v>15.9</v>
      </c>
      <c r="I6" s="4">
        <v>14.1</v>
      </c>
      <c r="J6" s="4">
        <v>14.6</v>
      </c>
      <c r="K6" s="4">
        <v>14.7</v>
      </c>
    </row>
    <row r="7" spans="1:11" ht="15.6" x14ac:dyDescent="0.3">
      <c r="A7" s="4">
        <v>6</v>
      </c>
      <c r="B7" s="4">
        <v>18</v>
      </c>
      <c r="C7" s="4">
        <v>19.899999999999999</v>
      </c>
      <c r="D7" s="4">
        <v>14</v>
      </c>
      <c r="E7" s="4">
        <v>15.3</v>
      </c>
      <c r="F7" s="4">
        <v>14.7</v>
      </c>
      <c r="G7" s="4">
        <v>13.7</v>
      </c>
      <c r="H7" s="4">
        <v>12.9</v>
      </c>
      <c r="I7" s="4">
        <v>12.6</v>
      </c>
      <c r="J7" s="4">
        <v>12.9</v>
      </c>
      <c r="K7" s="4">
        <v>19.3</v>
      </c>
    </row>
    <row r="8" spans="1:11" ht="15.6" x14ac:dyDescent="0.3">
      <c r="A8" s="4">
        <v>7</v>
      </c>
      <c r="B8" s="4">
        <v>19.100000000000001</v>
      </c>
      <c r="C8" s="4">
        <v>17.2</v>
      </c>
      <c r="D8" s="4">
        <v>13</v>
      </c>
      <c r="E8" s="4">
        <v>19.5</v>
      </c>
      <c r="F8" s="4">
        <v>16.600000000000001</v>
      </c>
      <c r="G8" s="4">
        <v>14.7</v>
      </c>
      <c r="H8" s="4">
        <v>12</v>
      </c>
      <c r="I8" s="4">
        <v>14.5</v>
      </c>
      <c r="J8" s="4">
        <v>11</v>
      </c>
      <c r="K8" s="4">
        <v>15.3</v>
      </c>
    </row>
    <row r="9" spans="1:11" ht="15.6" x14ac:dyDescent="0.3">
      <c r="A9" s="4">
        <v>8</v>
      </c>
      <c r="B9" s="4">
        <v>11.5</v>
      </c>
      <c r="C9" s="4">
        <v>19.8</v>
      </c>
      <c r="D9" s="4">
        <v>17.100000000000001</v>
      </c>
      <c r="E9" s="4">
        <v>12.8</v>
      </c>
      <c r="F9" s="4">
        <v>13.6</v>
      </c>
      <c r="G9" s="4">
        <v>16</v>
      </c>
      <c r="H9" s="4">
        <v>14.1</v>
      </c>
      <c r="I9" s="4">
        <v>14.4</v>
      </c>
      <c r="J9" s="4">
        <v>11.5</v>
      </c>
      <c r="K9" s="4">
        <v>14.9</v>
      </c>
    </row>
    <row r="10" spans="1:11" ht="15.6" x14ac:dyDescent="0.3">
      <c r="A10" s="4">
        <v>9</v>
      </c>
      <c r="B10" s="4">
        <v>15.3</v>
      </c>
      <c r="C10" s="4">
        <v>15.9</v>
      </c>
      <c r="D10" s="4">
        <v>13.5</v>
      </c>
      <c r="E10" s="4">
        <v>12.8</v>
      </c>
      <c r="F10" s="4">
        <v>18</v>
      </c>
      <c r="G10" s="4">
        <v>17.3</v>
      </c>
      <c r="H10" s="4">
        <v>17.100000000000001</v>
      </c>
      <c r="I10" s="4">
        <v>18.100000000000001</v>
      </c>
      <c r="J10" s="4">
        <v>12.2</v>
      </c>
      <c r="K10" s="4">
        <v>18</v>
      </c>
    </row>
    <row r="11" spans="1:11" ht="15.6" x14ac:dyDescent="0.3">
      <c r="A11" s="3">
        <v>10</v>
      </c>
      <c r="B11" s="3">
        <v>19</v>
      </c>
      <c r="C11" s="3">
        <v>15.7</v>
      </c>
      <c r="D11" s="3">
        <v>15.7</v>
      </c>
      <c r="E11" s="3">
        <v>18.2</v>
      </c>
      <c r="F11" s="3">
        <v>19</v>
      </c>
      <c r="G11" s="3">
        <v>13.3</v>
      </c>
      <c r="H11" s="3">
        <v>8.8000000000000007</v>
      </c>
      <c r="I11" s="3">
        <v>20.2</v>
      </c>
      <c r="J11" s="3">
        <v>12.4</v>
      </c>
      <c r="K11" s="3">
        <v>19.8</v>
      </c>
    </row>
    <row r="14" spans="1:11" x14ac:dyDescent="0.3">
      <c r="A14" t="s">
        <v>80</v>
      </c>
    </row>
    <row r="16" spans="1:11" ht="15" thickBot="1" x14ac:dyDescent="0.35">
      <c r="A16" t="s">
        <v>71</v>
      </c>
    </row>
    <row r="17" spans="1:7" x14ac:dyDescent="0.3">
      <c r="A17" s="35" t="s">
        <v>81</v>
      </c>
      <c r="B17" s="35" t="s">
        <v>72</v>
      </c>
      <c r="C17" s="35" t="s">
        <v>73</v>
      </c>
      <c r="D17" s="35" t="s">
        <v>18</v>
      </c>
      <c r="E17" s="35" t="s">
        <v>74</v>
      </c>
    </row>
    <row r="18" spans="1:7" x14ac:dyDescent="0.3">
      <c r="A18" t="s">
        <v>84</v>
      </c>
      <c r="B18">
        <v>10</v>
      </c>
      <c r="C18">
        <v>174.9</v>
      </c>
      <c r="D18">
        <v>17.490000000000002</v>
      </c>
      <c r="E18">
        <v>3.1943333333333346</v>
      </c>
    </row>
    <row r="19" spans="1:7" x14ac:dyDescent="0.3">
      <c r="A19" t="s">
        <v>85</v>
      </c>
      <c r="B19">
        <v>10</v>
      </c>
      <c r="C19">
        <v>140.30000000000001</v>
      </c>
      <c r="D19">
        <v>14.030000000000001</v>
      </c>
      <c r="E19">
        <v>6.4778888888888559</v>
      </c>
    </row>
    <row r="20" spans="1:7" x14ac:dyDescent="0.3">
      <c r="A20" t="s">
        <v>86</v>
      </c>
      <c r="B20">
        <v>10</v>
      </c>
      <c r="C20">
        <v>161.79999999999998</v>
      </c>
      <c r="D20">
        <v>16.18</v>
      </c>
      <c r="E20">
        <v>2.3373333333333322</v>
      </c>
    </row>
    <row r="21" spans="1:7" x14ac:dyDescent="0.3">
      <c r="A21" t="s">
        <v>87</v>
      </c>
      <c r="B21">
        <v>10</v>
      </c>
      <c r="C21">
        <v>156.80000000000001</v>
      </c>
      <c r="D21">
        <v>15.680000000000001</v>
      </c>
      <c r="E21">
        <v>5.7862222222221744</v>
      </c>
    </row>
    <row r="22" spans="1:7" x14ac:dyDescent="0.3">
      <c r="A22" t="s">
        <v>88</v>
      </c>
      <c r="B22">
        <v>10</v>
      </c>
      <c r="C22">
        <v>149.5</v>
      </c>
      <c r="D22">
        <v>14.95</v>
      </c>
      <c r="E22">
        <v>1.8916666666666673</v>
      </c>
    </row>
    <row r="23" spans="1:7" x14ac:dyDescent="0.3">
      <c r="A23" t="s">
        <v>89</v>
      </c>
      <c r="B23">
        <v>10</v>
      </c>
      <c r="C23">
        <v>153.30000000000001</v>
      </c>
      <c r="D23">
        <v>15.330000000000002</v>
      </c>
      <c r="E23">
        <v>7.540111111111047</v>
      </c>
    </row>
    <row r="24" spans="1:7" x14ac:dyDescent="0.3">
      <c r="A24" t="s">
        <v>90</v>
      </c>
      <c r="B24">
        <v>10</v>
      </c>
      <c r="C24">
        <v>152.90000000000003</v>
      </c>
      <c r="D24">
        <v>15.290000000000003</v>
      </c>
      <c r="E24">
        <v>8.1165555555554523</v>
      </c>
    </row>
    <row r="25" spans="1:7" x14ac:dyDescent="0.3">
      <c r="A25" t="s">
        <v>91</v>
      </c>
      <c r="B25">
        <v>10</v>
      </c>
      <c r="C25">
        <v>145.70000000000002</v>
      </c>
      <c r="D25">
        <v>14.570000000000002</v>
      </c>
      <c r="E25">
        <v>6.5645555555555193</v>
      </c>
    </row>
    <row r="26" spans="1:7" x14ac:dyDescent="0.3">
      <c r="A26" t="s">
        <v>92</v>
      </c>
      <c r="B26">
        <v>10</v>
      </c>
      <c r="C26">
        <v>158.19999999999999</v>
      </c>
      <c r="D26">
        <v>15.819999999999999</v>
      </c>
      <c r="E26">
        <v>5.1573333333334022</v>
      </c>
    </row>
    <row r="27" spans="1:7" ht="15" thickBot="1" x14ac:dyDescent="0.35">
      <c r="A27" s="34" t="s">
        <v>93</v>
      </c>
      <c r="B27" s="34">
        <v>10</v>
      </c>
      <c r="C27" s="34">
        <v>162.10000000000002</v>
      </c>
      <c r="D27" s="34">
        <v>16.21</v>
      </c>
      <c r="E27" s="34">
        <v>14.083222222222199</v>
      </c>
    </row>
    <row r="30" spans="1:7" ht="15" thickBot="1" x14ac:dyDescent="0.35">
      <c r="A30" t="s">
        <v>75</v>
      </c>
    </row>
    <row r="31" spans="1:7" x14ac:dyDescent="0.3">
      <c r="A31" s="35" t="s">
        <v>76</v>
      </c>
      <c r="B31" s="35" t="s">
        <v>65</v>
      </c>
      <c r="C31" s="35" t="s">
        <v>77</v>
      </c>
      <c r="D31" s="35" t="s">
        <v>64</v>
      </c>
      <c r="E31" s="35" t="s">
        <v>17</v>
      </c>
      <c r="F31" s="35" t="s">
        <v>78</v>
      </c>
      <c r="G31" s="35" t="s">
        <v>79</v>
      </c>
    </row>
    <row r="32" spans="1:7" x14ac:dyDescent="0.3">
      <c r="A32" t="s">
        <v>82</v>
      </c>
      <c r="B32">
        <v>84.324499999999716</v>
      </c>
      <c r="C32">
        <v>9</v>
      </c>
      <c r="D32">
        <v>9.3693888888888566</v>
      </c>
      <c r="E32">
        <v>1.5322171809217107</v>
      </c>
      <c r="F32">
        <v>0.14871628032786319</v>
      </c>
      <c r="G32">
        <v>1.9855949637305008</v>
      </c>
    </row>
    <row r="33" spans="1:7" x14ac:dyDescent="0.3">
      <c r="A33" t="s">
        <v>83</v>
      </c>
      <c r="B33">
        <v>550.34300000000007</v>
      </c>
      <c r="C33">
        <v>90</v>
      </c>
      <c r="D33">
        <v>6.1149222222222228</v>
      </c>
    </row>
    <row r="35" spans="1:7" ht="15" thickBot="1" x14ac:dyDescent="0.35">
      <c r="A35" s="34" t="s">
        <v>16</v>
      </c>
      <c r="B35" s="34">
        <v>634.66749999999979</v>
      </c>
      <c r="C35" s="34">
        <v>99</v>
      </c>
      <c r="D35" s="34"/>
      <c r="E35" s="34"/>
      <c r="F35" s="34"/>
      <c r="G35" s="3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B607-14B4-4B2A-ADD2-D7FB6D9BBFA6}">
  <dimension ref="A1:N27"/>
  <sheetViews>
    <sheetView showGridLines="0" workbookViewId="0">
      <selection activeCell="N11" sqref="N11"/>
    </sheetView>
  </sheetViews>
  <sheetFormatPr defaultRowHeight="14.4" x14ac:dyDescent="0.3"/>
  <cols>
    <col min="1" max="1" width="17.6640625" bestFit="1" customWidth="1"/>
    <col min="2" max="2" width="10" bestFit="1" customWidth="1"/>
    <col min="3" max="3" width="8.88671875" bestFit="1" customWidth="1"/>
    <col min="4" max="7" width="12" bestFit="1" customWidth="1"/>
    <col min="8" max="10" width="8.88671875" bestFit="1" customWidth="1"/>
    <col min="11" max="11" width="10" bestFit="1" customWidth="1"/>
    <col min="14" max="14" width="25.109375" bestFit="1" customWidth="1"/>
    <col min="23" max="23" width="9.88671875" bestFit="1" customWidth="1"/>
    <col min="25" max="27" width="8.88671875" bestFit="1" customWidth="1"/>
    <col min="28" max="28" width="10" bestFit="1" customWidth="1"/>
    <col min="29" max="33" width="7.21875" bestFit="1" customWidth="1"/>
    <col min="34" max="34" width="8.21875" bestFit="1" customWidth="1"/>
  </cols>
  <sheetData>
    <row r="1" spans="1:14" ht="15.6" x14ac:dyDescent="0.3">
      <c r="A1" s="14" t="s">
        <v>19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</row>
    <row r="2" spans="1:14" ht="15.6" x14ac:dyDescent="0.3">
      <c r="A2" s="6" t="s">
        <v>20</v>
      </c>
      <c r="B2" s="8">
        <v>10.5</v>
      </c>
      <c r="C2" s="8">
        <v>11.7</v>
      </c>
      <c r="D2" s="8">
        <v>12.2</v>
      </c>
      <c r="E2" s="8">
        <v>11.4</v>
      </c>
      <c r="F2" s="8">
        <v>12.3</v>
      </c>
      <c r="G2" s="8">
        <v>11.2</v>
      </c>
      <c r="H2" s="8">
        <v>15.2</v>
      </c>
      <c r="I2" s="8">
        <v>13.9</v>
      </c>
      <c r="J2" s="8">
        <v>11.5</v>
      </c>
      <c r="K2" s="8">
        <v>14.5</v>
      </c>
    </row>
    <row r="3" spans="1:14" ht="15.6" x14ac:dyDescent="0.3">
      <c r="A3" s="6" t="s">
        <v>0</v>
      </c>
      <c r="B3" s="8">
        <v>12.8</v>
      </c>
      <c r="C3" s="8">
        <v>12.9</v>
      </c>
      <c r="D3" s="8">
        <v>13.1</v>
      </c>
      <c r="E3" s="8">
        <v>13</v>
      </c>
      <c r="F3" s="8">
        <v>12.5</v>
      </c>
      <c r="G3" s="8">
        <v>13.9</v>
      </c>
      <c r="H3" s="8">
        <v>10.199999999999999</v>
      </c>
      <c r="I3" s="8">
        <v>11.7</v>
      </c>
      <c r="J3" s="8">
        <v>15.1</v>
      </c>
      <c r="K3" s="8">
        <v>10.8</v>
      </c>
    </row>
    <row r="4" spans="1:14" ht="15.6" x14ac:dyDescent="0.3">
      <c r="A4" s="6" t="s">
        <v>1</v>
      </c>
      <c r="B4" s="8">
        <v>11.9</v>
      </c>
      <c r="C4" s="8">
        <v>10.199999999999999</v>
      </c>
      <c r="D4" s="8">
        <v>14.1</v>
      </c>
      <c r="E4" s="8">
        <v>11.1</v>
      </c>
      <c r="F4" s="8">
        <v>11.9</v>
      </c>
      <c r="G4" s="8">
        <v>15.2</v>
      </c>
      <c r="H4" s="8">
        <v>12</v>
      </c>
      <c r="I4" s="8">
        <v>11.9</v>
      </c>
      <c r="J4" s="8">
        <v>11.2</v>
      </c>
      <c r="K4" s="8">
        <v>14.1</v>
      </c>
    </row>
    <row r="5" spans="1:14" ht="15.6" x14ac:dyDescent="0.3">
      <c r="A5" s="6" t="s">
        <v>2</v>
      </c>
      <c r="B5" s="8">
        <v>10.5</v>
      </c>
      <c r="C5" s="8">
        <v>11.4</v>
      </c>
      <c r="D5" s="8">
        <v>9</v>
      </c>
      <c r="E5" s="8">
        <v>8</v>
      </c>
      <c r="F5" s="8">
        <v>12.4</v>
      </c>
      <c r="G5" s="8">
        <v>8.1</v>
      </c>
      <c r="H5" s="8">
        <v>14.3</v>
      </c>
      <c r="I5" s="8">
        <v>9.3000000000000007</v>
      </c>
      <c r="J5" s="8">
        <v>7.5</v>
      </c>
      <c r="K5" s="8">
        <v>8.6</v>
      </c>
    </row>
    <row r="6" spans="1:14" ht="15.6" x14ac:dyDescent="0.3">
      <c r="A6" s="6" t="s">
        <v>3</v>
      </c>
      <c r="B6" s="8">
        <v>12.4</v>
      </c>
      <c r="C6" s="8">
        <v>9.5</v>
      </c>
      <c r="D6" s="8">
        <v>9</v>
      </c>
      <c r="E6" s="8">
        <v>6.3</v>
      </c>
      <c r="F6" s="8">
        <v>9.3000000000000007</v>
      </c>
      <c r="G6" s="8">
        <v>10.4</v>
      </c>
      <c r="H6" s="8">
        <v>11</v>
      </c>
      <c r="I6" s="8">
        <v>7.7</v>
      </c>
      <c r="J6" s="8">
        <v>14.6</v>
      </c>
      <c r="K6" s="8">
        <v>12.98</v>
      </c>
    </row>
    <row r="7" spans="1:14" ht="15.6" x14ac:dyDescent="0.3">
      <c r="A7" s="16" t="s">
        <v>4</v>
      </c>
      <c r="B7" s="9">
        <v>11.4</v>
      </c>
      <c r="C7" s="9">
        <v>11</v>
      </c>
      <c r="D7" s="9">
        <v>7</v>
      </c>
      <c r="E7" s="9">
        <v>7.9</v>
      </c>
      <c r="F7" s="9">
        <v>6.5</v>
      </c>
      <c r="G7" s="9">
        <v>8.6</v>
      </c>
      <c r="H7" s="9">
        <v>8.8000000000000007</v>
      </c>
      <c r="I7" s="9">
        <v>9</v>
      </c>
      <c r="J7" s="9">
        <v>13.9</v>
      </c>
      <c r="K7" s="9">
        <v>9.1</v>
      </c>
    </row>
    <row r="8" spans="1:14" x14ac:dyDescent="0.3">
      <c r="N8" s="36"/>
    </row>
    <row r="9" spans="1:14" x14ac:dyDescent="0.3">
      <c r="N9" s="1"/>
    </row>
    <row r="10" spans="1:14" x14ac:dyDescent="0.3">
      <c r="A10" t="s">
        <v>80</v>
      </c>
    </row>
    <row r="11" spans="1:14" x14ac:dyDescent="0.3">
      <c r="N11" s="36"/>
    </row>
    <row r="12" spans="1:14" ht="15" thickBot="1" x14ac:dyDescent="0.35">
      <c r="A12" t="s">
        <v>71</v>
      </c>
      <c r="N12" s="1"/>
    </row>
    <row r="13" spans="1:14" x14ac:dyDescent="0.3">
      <c r="A13" s="35" t="s">
        <v>81</v>
      </c>
      <c r="B13" s="35" t="s">
        <v>72</v>
      </c>
      <c r="C13" s="35" t="s">
        <v>73</v>
      </c>
      <c r="D13" s="35" t="s">
        <v>18</v>
      </c>
      <c r="E13" s="35" t="s">
        <v>74</v>
      </c>
    </row>
    <row r="14" spans="1:14" x14ac:dyDescent="0.3">
      <c r="A14" t="s">
        <v>20</v>
      </c>
      <c r="B14">
        <v>10</v>
      </c>
      <c r="C14">
        <v>124.4</v>
      </c>
      <c r="D14">
        <v>12.440000000000001</v>
      </c>
      <c r="E14">
        <v>2.431555555555557</v>
      </c>
      <c r="N14" s="37"/>
    </row>
    <row r="15" spans="1:14" x14ac:dyDescent="0.3">
      <c r="A15" t="s">
        <v>0</v>
      </c>
      <c r="B15">
        <v>10</v>
      </c>
      <c r="C15">
        <v>126.00000000000001</v>
      </c>
      <c r="D15">
        <v>12.600000000000001</v>
      </c>
      <c r="E15">
        <v>2.033333333333303</v>
      </c>
      <c r="N15" s="1"/>
    </row>
    <row r="16" spans="1:14" x14ac:dyDescent="0.3">
      <c r="A16" t="s">
        <v>1</v>
      </c>
      <c r="B16">
        <v>10</v>
      </c>
      <c r="C16">
        <v>123.60000000000001</v>
      </c>
      <c r="D16">
        <v>12.360000000000001</v>
      </c>
      <c r="E16">
        <v>2.4982222222222137</v>
      </c>
      <c r="N16" s="1"/>
    </row>
    <row r="17" spans="1:7" x14ac:dyDescent="0.3">
      <c r="A17" t="s">
        <v>2</v>
      </c>
      <c r="B17">
        <v>10</v>
      </c>
      <c r="C17">
        <v>99.1</v>
      </c>
      <c r="D17">
        <v>9.91</v>
      </c>
      <c r="E17">
        <v>4.8543333333333418</v>
      </c>
    </row>
    <row r="18" spans="1:7" x14ac:dyDescent="0.3">
      <c r="A18" t="s">
        <v>3</v>
      </c>
      <c r="B18">
        <v>10</v>
      </c>
      <c r="C18">
        <v>103.18</v>
      </c>
      <c r="D18">
        <v>10.318000000000001</v>
      </c>
      <c r="E18">
        <v>6.2965733333332992</v>
      </c>
    </row>
    <row r="19" spans="1:7" ht="15" thickBot="1" x14ac:dyDescent="0.35">
      <c r="A19" s="34" t="s">
        <v>4</v>
      </c>
      <c r="B19" s="34">
        <v>10</v>
      </c>
      <c r="C19" s="34">
        <v>93.2</v>
      </c>
      <c r="D19" s="34">
        <v>9.32</v>
      </c>
      <c r="E19" s="34">
        <v>4.9351111111111168</v>
      </c>
    </row>
    <row r="22" spans="1:7" ht="15" thickBot="1" x14ac:dyDescent="0.35">
      <c r="A22" t="s">
        <v>75</v>
      </c>
    </row>
    <row r="23" spans="1:7" x14ac:dyDescent="0.3">
      <c r="A23" s="35" t="s">
        <v>76</v>
      </c>
      <c r="B23" s="35" t="s">
        <v>65</v>
      </c>
      <c r="C23" s="35" t="s">
        <v>77</v>
      </c>
      <c r="D23" s="35" t="s">
        <v>64</v>
      </c>
      <c r="E23" s="35" t="s">
        <v>17</v>
      </c>
      <c r="F23" s="35" t="s">
        <v>78</v>
      </c>
      <c r="G23" s="35" t="s">
        <v>79</v>
      </c>
    </row>
    <row r="24" spans="1:7" x14ac:dyDescent="0.3">
      <c r="A24" t="s">
        <v>82</v>
      </c>
      <c r="B24">
        <v>108.09039999999993</v>
      </c>
      <c r="C24">
        <v>5</v>
      </c>
      <c r="D24">
        <v>21.618079999999985</v>
      </c>
      <c r="E24">
        <v>5.6274786186183139</v>
      </c>
      <c r="F24">
        <v>3.0254501229939451E-4</v>
      </c>
      <c r="G24">
        <v>2.3860698615742186</v>
      </c>
    </row>
    <row r="25" spans="1:7" x14ac:dyDescent="0.3">
      <c r="A25" t="s">
        <v>83</v>
      </c>
      <c r="B25">
        <v>207.44216</v>
      </c>
      <c r="C25">
        <v>54</v>
      </c>
      <c r="D25">
        <v>3.8415214814814815</v>
      </c>
    </row>
    <row r="27" spans="1:7" ht="15" thickBot="1" x14ac:dyDescent="0.35">
      <c r="A27" s="34" t="s">
        <v>16</v>
      </c>
      <c r="B27" s="34">
        <v>315.53255999999993</v>
      </c>
      <c r="C27" s="34">
        <v>59</v>
      </c>
      <c r="D27" s="34"/>
      <c r="E27" s="34"/>
      <c r="F27" s="34"/>
      <c r="G27" s="3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0B85-F661-4B14-B8E5-09B877387940}">
  <dimension ref="A1:T27"/>
  <sheetViews>
    <sheetView showGridLines="0" zoomScaleNormal="100" workbookViewId="0">
      <selection activeCell="M9" sqref="M9"/>
    </sheetView>
  </sheetViews>
  <sheetFormatPr defaultRowHeight="14.4" x14ac:dyDescent="0.3"/>
  <cols>
    <col min="1" max="1" width="17.6640625" bestFit="1" customWidth="1"/>
    <col min="2" max="2" width="12" bestFit="1" customWidth="1"/>
    <col min="3" max="3" width="10" bestFit="1" customWidth="1"/>
    <col min="4" max="7" width="12" bestFit="1" customWidth="1"/>
    <col min="8" max="10" width="8.88671875" bestFit="1" customWidth="1"/>
    <col min="11" max="11" width="10" bestFit="1" customWidth="1"/>
    <col min="13" max="13" width="12.6640625" bestFit="1" customWidth="1"/>
    <col min="14" max="14" width="25.109375" bestFit="1" customWidth="1"/>
    <col min="17" max="17" width="9" bestFit="1" customWidth="1"/>
    <col min="18" max="19" width="10.44140625" bestFit="1" customWidth="1"/>
    <col min="20" max="20" width="25.109375" bestFit="1" customWidth="1"/>
    <col min="21" max="27" width="10.44140625" bestFit="1" customWidth="1"/>
    <col min="45" max="54" width="10.44140625" bestFit="1" customWidth="1"/>
    <col min="55" max="55" width="10" bestFit="1" customWidth="1"/>
    <col min="56" max="56" width="9.88671875" bestFit="1" customWidth="1"/>
    <col min="57" max="66" width="11.44140625" bestFit="1" customWidth="1"/>
  </cols>
  <sheetData>
    <row r="1" spans="1:20" ht="15.6" x14ac:dyDescent="0.3">
      <c r="A1" s="21" t="s">
        <v>19</v>
      </c>
      <c r="B1" s="21" t="s">
        <v>5</v>
      </c>
      <c r="C1" s="21" t="s">
        <v>6</v>
      </c>
      <c r="D1" s="21" t="s">
        <v>7</v>
      </c>
      <c r="E1" s="21" t="s">
        <v>8</v>
      </c>
      <c r="F1" s="21" t="s">
        <v>9</v>
      </c>
      <c r="G1" s="21" t="s">
        <v>10</v>
      </c>
      <c r="H1" s="21" t="s">
        <v>11</v>
      </c>
      <c r="I1" s="21" t="s">
        <v>12</v>
      </c>
      <c r="J1" s="21" t="s">
        <v>13</v>
      </c>
      <c r="K1" s="21" t="s">
        <v>14</v>
      </c>
    </row>
    <row r="2" spans="1:20" ht="15.6" x14ac:dyDescent="0.3">
      <c r="A2" s="20" t="s">
        <v>20</v>
      </c>
      <c r="B2" s="31">
        <v>15.132100000000001</v>
      </c>
      <c r="C2" s="31">
        <v>17.556100000000001</v>
      </c>
      <c r="D2" s="31">
        <v>24.1081</v>
      </c>
      <c r="E2" s="31">
        <v>37.822499999999998</v>
      </c>
      <c r="F2" s="31">
        <v>20.430399999999999</v>
      </c>
      <c r="G2" s="31">
        <v>27.6676</v>
      </c>
      <c r="H2" s="31">
        <v>41.602499999999999</v>
      </c>
      <c r="I2" s="31">
        <v>36.4816</v>
      </c>
      <c r="J2" s="31">
        <v>13.9129</v>
      </c>
      <c r="K2" s="31">
        <v>29.702500000000001</v>
      </c>
    </row>
    <row r="3" spans="1:20" ht="15.6" x14ac:dyDescent="0.3">
      <c r="A3" s="18" t="s">
        <v>0</v>
      </c>
      <c r="B3" s="27">
        <v>35.760399999999997</v>
      </c>
      <c r="C3" s="27">
        <v>16.892099999999999</v>
      </c>
      <c r="D3" s="27">
        <v>110.6704</v>
      </c>
      <c r="E3" s="27">
        <v>70.728099999999998</v>
      </c>
      <c r="F3" s="27">
        <v>60.217599999999997</v>
      </c>
      <c r="G3" s="27">
        <v>132.71039999999999</v>
      </c>
      <c r="H3" s="27">
        <v>65.448099999999997</v>
      </c>
      <c r="I3" s="27">
        <v>18.490000000000002</v>
      </c>
      <c r="J3" s="27">
        <v>41.990399999999994</v>
      </c>
      <c r="K3" s="27">
        <v>123.87690000000001</v>
      </c>
      <c r="N3" s="47"/>
    </row>
    <row r="4" spans="1:20" ht="15.6" x14ac:dyDescent="0.3">
      <c r="A4" s="20" t="s">
        <v>1</v>
      </c>
      <c r="B4" s="31">
        <v>41.990399999999994</v>
      </c>
      <c r="C4" s="31">
        <v>33.177599999999998</v>
      </c>
      <c r="D4" s="31">
        <v>15.6816</v>
      </c>
      <c r="E4" s="31">
        <v>7.4529000000000005</v>
      </c>
      <c r="F4" s="31">
        <v>23.04</v>
      </c>
      <c r="G4" s="31">
        <v>112.78439999999999</v>
      </c>
      <c r="H4" s="31">
        <v>88.736400000000003</v>
      </c>
      <c r="I4" s="31">
        <v>58.369599999999998</v>
      </c>
      <c r="J4" s="31">
        <v>97.614400000000003</v>
      </c>
      <c r="K4" s="31">
        <v>13.3225</v>
      </c>
      <c r="N4" s="47"/>
    </row>
    <row r="5" spans="1:20" ht="15.6" x14ac:dyDescent="0.3">
      <c r="A5" s="18" t="s">
        <v>2</v>
      </c>
      <c r="B5" s="27">
        <v>5.1075999999999997</v>
      </c>
      <c r="C5" s="27">
        <v>130.41640000000001</v>
      </c>
      <c r="D5" s="27">
        <v>26.214400000000001</v>
      </c>
      <c r="E5" s="27">
        <v>46.785600000000002</v>
      </c>
      <c r="F5" s="27">
        <v>178.7569</v>
      </c>
      <c r="G5" s="27">
        <v>32.376100000000001</v>
      </c>
      <c r="H5" s="27">
        <v>22.09</v>
      </c>
      <c r="I5" s="27">
        <v>89.302499999999995</v>
      </c>
      <c r="J5" s="27">
        <v>49.843599999999995</v>
      </c>
      <c r="K5" s="27">
        <v>68.0625</v>
      </c>
      <c r="N5" s="47"/>
      <c r="T5" s="36"/>
    </row>
    <row r="6" spans="1:20" ht="15.6" x14ac:dyDescent="0.3">
      <c r="A6" s="20" t="s">
        <v>3</v>
      </c>
      <c r="B6" s="31">
        <v>63.36160000000001</v>
      </c>
      <c r="C6" s="31">
        <v>61.1524</v>
      </c>
      <c r="D6" s="31">
        <v>23.912100000000002</v>
      </c>
      <c r="E6" s="31">
        <v>114.7041</v>
      </c>
      <c r="F6" s="31">
        <v>35.760399999999997</v>
      </c>
      <c r="G6" s="31">
        <v>69.388900000000007</v>
      </c>
      <c r="H6" s="31">
        <v>127.46409999999999</v>
      </c>
      <c r="I6" s="31">
        <v>73.7881</v>
      </c>
      <c r="J6" s="31">
        <v>42.902499999999996</v>
      </c>
      <c r="K6" s="31">
        <v>100.20010000000001</v>
      </c>
      <c r="N6" s="48"/>
      <c r="T6" s="1"/>
    </row>
    <row r="7" spans="1:20" ht="15.6" x14ac:dyDescent="0.3">
      <c r="A7" s="19" t="s">
        <v>4</v>
      </c>
      <c r="B7" s="29">
        <v>276.2244</v>
      </c>
      <c r="C7" s="29">
        <v>57.912099999999995</v>
      </c>
      <c r="D7" s="29">
        <v>173.7124</v>
      </c>
      <c r="E7" s="29">
        <v>77.264099999999999</v>
      </c>
      <c r="F7" s="29">
        <v>19.1844</v>
      </c>
      <c r="G7" s="29">
        <v>89.113600000000005</v>
      </c>
      <c r="H7" s="29">
        <v>117.7225</v>
      </c>
      <c r="I7" s="29">
        <v>115.77760000000001</v>
      </c>
      <c r="J7" s="29">
        <v>157.5025</v>
      </c>
      <c r="K7" s="29">
        <v>72.25</v>
      </c>
      <c r="N7" s="46"/>
      <c r="T7" s="1"/>
    </row>
    <row r="8" spans="1:20" x14ac:dyDescent="0.3">
      <c r="N8" s="47"/>
      <c r="T8" s="36"/>
    </row>
    <row r="9" spans="1:20" x14ac:dyDescent="0.3">
      <c r="N9" s="48"/>
      <c r="T9" s="1"/>
    </row>
    <row r="10" spans="1:20" x14ac:dyDescent="0.3">
      <c r="A10" t="s">
        <v>80</v>
      </c>
      <c r="N10" s="46"/>
      <c r="T10" s="1"/>
    </row>
    <row r="11" spans="1:20" x14ac:dyDescent="0.3">
      <c r="N11" s="47"/>
      <c r="T11" s="37"/>
    </row>
    <row r="12" spans="1:20" ht="15" thickBot="1" x14ac:dyDescent="0.35">
      <c r="A12" t="s">
        <v>71</v>
      </c>
      <c r="N12" s="49"/>
      <c r="T12" s="1"/>
    </row>
    <row r="13" spans="1:20" x14ac:dyDescent="0.3">
      <c r="A13" s="45" t="s">
        <v>81</v>
      </c>
      <c r="B13" s="45" t="s">
        <v>72</v>
      </c>
      <c r="C13" s="45" t="s">
        <v>73</v>
      </c>
      <c r="D13" s="45" t="s">
        <v>18</v>
      </c>
      <c r="E13" s="45" t="s">
        <v>74</v>
      </c>
      <c r="N13" s="47"/>
      <c r="T13" s="1"/>
    </row>
    <row r="14" spans="1:20" x14ac:dyDescent="0.3">
      <c r="A14" s="43" t="s">
        <v>20</v>
      </c>
      <c r="B14" s="43">
        <v>10</v>
      </c>
      <c r="C14" s="43">
        <v>264.41629999999998</v>
      </c>
      <c r="D14" s="43">
        <v>26.441629999999996</v>
      </c>
      <c r="E14" s="43">
        <v>97.524543366777834</v>
      </c>
      <c r="N14" s="47"/>
    </row>
    <row r="15" spans="1:20" x14ac:dyDescent="0.3">
      <c r="A15" s="43" t="s">
        <v>0</v>
      </c>
      <c r="B15" s="43">
        <v>10</v>
      </c>
      <c r="C15" s="43">
        <v>676.78440000000001</v>
      </c>
      <c r="D15" s="43">
        <v>67.678439999999995</v>
      </c>
      <c r="E15" s="43">
        <v>1775.8957739226664</v>
      </c>
      <c r="N15" s="47"/>
    </row>
    <row r="16" spans="1:20" x14ac:dyDescent="0.3">
      <c r="A16" s="43" t="s">
        <v>1</v>
      </c>
      <c r="B16" s="43">
        <v>10</v>
      </c>
      <c r="C16" s="43">
        <v>492.16979999999995</v>
      </c>
      <c r="D16" s="43">
        <v>49.216979999999992</v>
      </c>
      <c r="E16" s="43">
        <v>1464.5194881973334</v>
      </c>
      <c r="N16" s="47"/>
    </row>
    <row r="17" spans="1:7" x14ac:dyDescent="0.3">
      <c r="A17" s="43" t="s">
        <v>2</v>
      </c>
      <c r="B17" s="43">
        <v>10</v>
      </c>
      <c r="C17" s="43">
        <v>648.9556</v>
      </c>
      <c r="D17" s="43">
        <v>64.895560000000003</v>
      </c>
      <c r="E17" s="43">
        <v>2930.9232385093324</v>
      </c>
    </row>
    <row r="18" spans="1:7" x14ac:dyDescent="0.3">
      <c r="A18" s="43" t="s">
        <v>3</v>
      </c>
      <c r="B18" s="43">
        <v>10</v>
      </c>
      <c r="C18" s="43">
        <v>712.63430000000005</v>
      </c>
      <c r="D18" s="43">
        <v>71.26343</v>
      </c>
      <c r="E18" s="43">
        <v>1151.6059553267769</v>
      </c>
    </row>
    <row r="19" spans="1:7" ht="15" thickBot="1" x14ac:dyDescent="0.35">
      <c r="A19" s="44" t="s">
        <v>4</v>
      </c>
      <c r="B19" s="44">
        <v>10</v>
      </c>
      <c r="C19" s="44">
        <v>1156.6636000000001</v>
      </c>
      <c r="D19" s="44">
        <v>115.66636000000001</v>
      </c>
      <c r="E19" s="44">
        <v>5290.2017522693304</v>
      </c>
    </row>
    <row r="22" spans="1:7" ht="15" thickBot="1" x14ac:dyDescent="0.35">
      <c r="A22" t="s">
        <v>75</v>
      </c>
    </row>
    <row r="23" spans="1:7" x14ac:dyDescent="0.3">
      <c r="A23" s="45" t="s">
        <v>76</v>
      </c>
      <c r="B23" s="45" t="s">
        <v>65</v>
      </c>
      <c r="C23" s="45" t="s">
        <v>77</v>
      </c>
      <c r="D23" s="45" t="s">
        <v>64</v>
      </c>
      <c r="E23" s="45" t="s">
        <v>17</v>
      </c>
      <c r="F23" s="45" t="s">
        <v>78</v>
      </c>
      <c r="G23" s="45" t="s">
        <v>79</v>
      </c>
    </row>
    <row r="24" spans="1:7" x14ac:dyDescent="0.3">
      <c r="A24" s="43" t="s">
        <v>82</v>
      </c>
      <c r="B24" s="43">
        <v>43449.054279790027</v>
      </c>
      <c r="C24" s="43">
        <v>5</v>
      </c>
      <c r="D24" s="43">
        <v>8689.810855958005</v>
      </c>
      <c r="E24" s="43">
        <v>4.1019759031376672</v>
      </c>
      <c r="F24" s="43">
        <v>3.1402828979276687E-3</v>
      </c>
      <c r="G24" s="43">
        <v>2.3860698615742186</v>
      </c>
    </row>
    <row r="25" spans="1:7" x14ac:dyDescent="0.3">
      <c r="A25" s="43" t="s">
        <v>83</v>
      </c>
      <c r="B25" s="43">
        <v>114396.03676433</v>
      </c>
      <c r="C25" s="43">
        <v>54</v>
      </c>
      <c r="D25" s="43">
        <v>2118.4451252653703</v>
      </c>
      <c r="E25" s="43"/>
      <c r="F25" s="43"/>
      <c r="G25" s="43"/>
    </row>
    <row r="26" spans="1:7" x14ac:dyDescent="0.3">
      <c r="A26" s="43"/>
      <c r="B26" s="43"/>
      <c r="C26" s="43"/>
      <c r="D26" s="43"/>
      <c r="E26" s="43"/>
      <c r="F26" s="43"/>
      <c r="G26" s="43"/>
    </row>
    <row r="27" spans="1:7" ht="15" thickBot="1" x14ac:dyDescent="0.35">
      <c r="A27" s="44" t="s">
        <v>16</v>
      </c>
      <c r="B27" s="44">
        <v>157845.09104412002</v>
      </c>
      <c r="C27" s="44">
        <v>59</v>
      </c>
      <c r="D27" s="44"/>
      <c r="E27" s="44"/>
      <c r="F27" s="44"/>
      <c r="G27" s="4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E6E9-3A0C-420C-AC1E-096425A299E1}">
  <dimension ref="A1:AR43"/>
  <sheetViews>
    <sheetView showGridLines="0" zoomScale="92" zoomScaleNormal="92" workbookViewId="0">
      <selection activeCell="N11" sqref="N11"/>
    </sheetView>
  </sheetViews>
  <sheetFormatPr defaultRowHeight="15.6" x14ac:dyDescent="0.3"/>
  <cols>
    <col min="1" max="1" width="14.88671875" bestFit="1" customWidth="1"/>
    <col min="2" max="12" width="6.21875" bestFit="1" customWidth="1"/>
    <col min="13" max="13" width="14.88671875" bestFit="1" customWidth="1"/>
    <col min="14" max="14" width="21.33203125" bestFit="1" customWidth="1"/>
    <col min="15" max="15" width="22.88671875" bestFit="1" customWidth="1"/>
    <col min="16" max="16" width="6.21875" bestFit="1" customWidth="1"/>
    <col min="17" max="17" width="17.44140625" bestFit="1" customWidth="1"/>
    <col min="18" max="18" width="22.88671875" bestFit="1" customWidth="1"/>
    <col min="19" max="21" width="6.21875" bestFit="1" customWidth="1"/>
    <col min="22" max="22" width="14.88671875" bestFit="1" customWidth="1"/>
    <col min="24" max="24" width="14.88671875" bestFit="1" customWidth="1"/>
    <col min="25" max="34" width="5.5546875" bestFit="1" customWidth="1"/>
    <col min="36" max="36" width="14.88671875" style="1" bestFit="1" customWidth="1"/>
    <col min="37" max="37" width="21.33203125" style="1" bestFit="1" customWidth="1"/>
    <col min="38" max="38" width="22.88671875" bestFit="1" customWidth="1"/>
    <col min="40" max="40" width="17.44140625" bestFit="1" customWidth="1"/>
    <col min="41" max="41" width="22.88671875" bestFit="1" customWidth="1"/>
    <col min="42" max="42" width="8.88671875" style="8"/>
    <col min="43" max="43" width="17.44140625" style="1" bestFit="1" customWidth="1"/>
    <col min="44" max="44" width="22.88671875" style="1" bestFit="1" customWidth="1"/>
  </cols>
  <sheetData>
    <row r="1" spans="1:44" x14ac:dyDescent="0.3">
      <c r="M1" s="1"/>
      <c r="N1" s="1"/>
      <c r="S1" s="8"/>
      <c r="T1" s="1"/>
      <c r="U1" s="1"/>
      <c r="AJ1"/>
      <c r="AK1"/>
      <c r="AP1"/>
      <c r="AQ1"/>
      <c r="AR1"/>
    </row>
    <row r="2" spans="1:44" x14ac:dyDescent="0.3">
      <c r="A2" s="24" t="s">
        <v>21</v>
      </c>
      <c r="B2" s="25" t="s">
        <v>26</v>
      </c>
      <c r="C2" s="25" t="s">
        <v>27</v>
      </c>
      <c r="D2" s="25" t="s">
        <v>28</v>
      </c>
      <c r="E2" s="25" t="s">
        <v>29</v>
      </c>
      <c r="F2" s="25" t="s">
        <v>30</v>
      </c>
      <c r="G2" s="25" t="s">
        <v>31</v>
      </c>
      <c r="H2" s="25" t="s">
        <v>32</v>
      </c>
      <c r="I2" s="25" t="s">
        <v>33</v>
      </c>
      <c r="J2" s="25" t="s">
        <v>34</v>
      </c>
      <c r="K2" s="25" t="s">
        <v>35</v>
      </c>
      <c r="L2" s="13"/>
      <c r="M2" s="24" t="s">
        <v>21</v>
      </c>
      <c r="N2" s="25" t="s">
        <v>46</v>
      </c>
      <c r="O2" s="25" t="s">
        <v>47</v>
      </c>
      <c r="Q2" s="7" t="s">
        <v>49</v>
      </c>
      <c r="R2" s="7" t="s">
        <v>50</v>
      </c>
      <c r="S2" s="8"/>
      <c r="T2" s="1"/>
      <c r="U2" s="1"/>
      <c r="AJ2"/>
      <c r="AK2"/>
      <c r="AP2"/>
      <c r="AQ2"/>
      <c r="AR2"/>
    </row>
    <row r="3" spans="1:44" x14ac:dyDescent="0.3">
      <c r="A3" s="26" t="s">
        <v>22</v>
      </c>
      <c r="B3" s="27">
        <v>5</v>
      </c>
      <c r="C3" s="27">
        <v>4</v>
      </c>
      <c r="D3" s="27">
        <v>3.6666666666666665</v>
      </c>
      <c r="E3" s="27">
        <v>4.333333333333333</v>
      </c>
      <c r="F3" s="27">
        <v>4</v>
      </c>
      <c r="G3" s="27">
        <v>4.333333333333333</v>
      </c>
      <c r="H3" s="27">
        <v>4</v>
      </c>
      <c r="I3" s="27">
        <v>4</v>
      </c>
      <c r="J3" s="27">
        <v>4.666666666666667</v>
      </c>
      <c r="K3" s="27">
        <v>4.333333333333333</v>
      </c>
      <c r="L3" s="13"/>
      <c r="M3" s="26" t="s">
        <v>22</v>
      </c>
      <c r="N3" s="27">
        <f>AVERAGE(Table19[[#This Row],[R1]:[R10]],B9:K9)</f>
        <v>4.333333333333333</v>
      </c>
      <c r="O3" s="18" t="s">
        <v>48</v>
      </c>
      <c r="Q3" s="8" t="s">
        <v>51</v>
      </c>
      <c r="R3" s="8" t="s">
        <v>56</v>
      </c>
      <c r="S3" s="8"/>
      <c r="T3" s="1"/>
      <c r="U3" s="1"/>
      <c r="AJ3"/>
      <c r="AK3"/>
      <c r="AP3"/>
      <c r="AQ3"/>
      <c r="AR3"/>
    </row>
    <row r="4" spans="1:44" x14ac:dyDescent="0.3">
      <c r="A4" s="26" t="s">
        <v>23</v>
      </c>
      <c r="B4" s="27">
        <v>4.5</v>
      </c>
      <c r="C4" s="27">
        <v>3.25</v>
      </c>
      <c r="D4" s="27">
        <v>3.75</v>
      </c>
      <c r="E4" s="27">
        <v>4.75</v>
      </c>
      <c r="F4" s="27">
        <v>3.5</v>
      </c>
      <c r="G4" s="27">
        <v>4.25</v>
      </c>
      <c r="H4" s="27">
        <v>4.25</v>
      </c>
      <c r="I4" s="27">
        <v>3.75</v>
      </c>
      <c r="J4" s="27">
        <v>4.75</v>
      </c>
      <c r="K4" s="27">
        <v>4</v>
      </c>
      <c r="L4" s="13"/>
      <c r="M4" s="26" t="s">
        <v>23</v>
      </c>
      <c r="N4" s="27">
        <f>AVERAGE(Table19[[#This Row],[R1]:[R10]],B10:K10)</f>
        <v>4.2374999999999998</v>
      </c>
      <c r="O4" s="18" t="s">
        <v>48</v>
      </c>
      <c r="Q4" s="8" t="s">
        <v>53</v>
      </c>
      <c r="R4" s="8" t="s">
        <v>57</v>
      </c>
      <c r="S4" s="8"/>
      <c r="T4" s="1"/>
      <c r="U4" s="1"/>
      <c r="AJ4"/>
      <c r="AK4"/>
      <c r="AP4"/>
      <c r="AQ4"/>
      <c r="AR4"/>
    </row>
    <row r="5" spans="1:44" x14ac:dyDescent="0.3">
      <c r="A5" s="26" t="s">
        <v>24</v>
      </c>
      <c r="B5" s="27">
        <v>4.5</v>
      </c>
      <c r="C5" s="27">
        <v>4.166666666666667</v>
      </c>
      <c r="D5" s="27">
        <v>3.8333333333333335</v>
      </c>
      <c r="E5" s="27">
        <v>4.5</v>
      </c>
      <c r="F5" s="27">
        <v>4.333333333333333</v>
      </c>
      <c r="G5" s="27">
        <v>4.333333333333333</v>
      </c>
      <c r="H5" s="27">
        <v>4.333333333333333</v>
      </c>
      <c r="I5" s="27">
        <v>4.166666666666667</v>
      </c>
      <c r="J5" s="27">
        <v>4.833333333333333</v>
      </c>
      <c r="K5" s="27">
        <v>4.166666666666667</v>
      </c>
      <c r="L5" s="13"/>
      <c r="M5" s="26" t="s">
        <v>24</v>
      </c>
      <c r="N5" s="27">
        <f>AVERAGE(Table19[[#This Row],[R1]:[R10]],B11:K11)</f>
        <v>4.3583333333333334</v>
      </c>
      <c r="O5" s="18" t="s">
        <v>48</v>
      </c>
      <c r="Q5" s="8" t="s">
        <v>54</v>
      </c>
      <c r="R5" s="8" t="s">
        <v>58</v>
      </c>
      <c r="S5" s="8"/>
      <c r="T5" s="1"/>
      <c r="U5" s="1"/>
      <c r="AJ5"/>
      <c r="AK5"/>
      <c r="AP5"/>
      <c r="AQ5"/>
      <c r="AR5"/>
    </row>
    <row r="6" spans="1:44" x14ac:dyDescent="0.3">
      <c r="A6" s="28" t="s">
        <v>25</v>
      </c>
      <c r="B6" s="29">
        <v>5</v>
      </c>
      <c r="C6" s="29">
        <v>3.5</v>
      </c>
      <c r="D6" s="29">
        <v>4</v>
      </c>
      <c r="E6" s="29">
        <v>5</v>
      </c>
      <c r="F6" s="29">
        <v>4</v>
      </c>
      <c r="G6" s="29">
        <v>4.5</v>
      </c>
      <c r="H6" s="29">
        <v>3.5</v>
      </c>
      <c r="I6" s="29">
        <v>4</v>
      </c>
      <c r="J6" s="29">
        <v>5</v>
      </c>
      <c r="K6" s="29">
        <v>4.5</v>
      </c>
      <c r="L6" s="13"/>
      <c r="M6" s="26" t="s">
        <v>25</v>
      </c>
      <c r="N6" s="27">
        <f>AVERAGE(Table19[[#This Row],[R1]:[R10]],B12:K12)</f>
        <v>4.3499999999999996</v>
      </c>
      <c r="O6" s="18" t="s">
        <v>48</v>
      </c>
      <c r="Q6" s="8" t="s">
        <v>55</v>
      </c>
      <c r="R6" s="8" t="s">
        <v>59</v>
      </c>
      <c r="S6" s="8"/>
      <c r="T6" s="1"/>
      <c r="U6" s="1"/>
      <c r="AJ6"/>
      <c r="AK6"/>
      <c r="AP6"/>
      <c r="AQ6"/>
      <c r="AR6"/>
    </row>
    <row r="7" spans="1:44" x14ac:dyDescent="0.3">
      <c r="A7" s="26"/>
      <c r="B7" s="18"/>
      <c r="C7" s="18"/>
      <c r="D7" s="18"/>
      <c r="E7" s="18"/>
      <c r="F7" s="18"/>
      <c r="G7" s="18"/>
      <c r="H7" s="18"/>
      <c r="I7" s="18"/>
      <c r="J7" s="18"/>
      <c r="K7" s="18"/>
      <c r="L7" s="13"/>
      <c r="M7" s="28" t="s">
        <v>60</v>
      </c>
      <c r="N7" s="29">
        <f>AVERAGE(N3:N6)</f>
        <v>4.3197916666666671</v>
      </c>
      <c r="O7" s="19" t="s">
        <v>48</v>
      </c>
      <c r="Q7" s="9" t="s">
        <v>52</v>
      </c>
      <c r="R7" s="9" t="s">
        <v>48</v>
      </c>
      <c r="S7" s="8"/>
      <c r="T7" s="1"/>
      <c r="U7" s="1"/>
      <c r="AJ7"/>
      <c r="AK7"/>
      <c r="AP7"/>
      <c r="AQ7"/>
      <c r="AR7"/>
    </row>
    <row r="8" spans="1:44" x14ac:dyDescent="0.3">
      <c r="A8" s="24" t="s">
        <v>21</v>
      </c>
      <c r="B8" s="25" t="s">
        <v>36</v>
      </c>
      <c r="C8" s="25" t="s">
        <v>37</v>
      </c>
      <c r="D8" s="25" t="s">
        <v>38</v>
      </c>
      <c r="E8" s="25" t="s">
        <v>39</v>
      </c>
      <c r="F8" s="25" t="s">
        <v>40</v>
      </c>
      <c r="G8" s="25" t="s">
        <v>41</v>
      </c>
      <c r="H8" s="25" t="s">
        <v>42</v>
      </c>
      <c r="I8" s="25" t="s">
        <v>43</v>
      </c>
      <c r="J8" s="25" t="s">
        <v>44</v>
      </c>
      <c r="K8" s="25" t="s">
        <v>45</v>
      </c>
      <c r="L8" s="13"/>
      <c r="M8" s="18"/>
      <c r="N8" s="18"/>
      <c r="O8" s="15"/>
      <c r="S8" s="8"/>
      <c r="T8" s="1"/>
      <c r="U8" s="1"/>
      <c r="AJ8"/>
      <c r="AK8"/>
      <c r="AP8"/>
      <c r="AQ8"/>
      <c r="AR8"/>
    </row>
    <row r="9" spans="1:44" x14ac:dyDescent="0.3">
      <c r="A9" s="26" t="s">
        <v>22</v>
      </c>
      <c r="B9" s="27">
        <v>4.666666666666667</v>
      </c>
      <c r="C9" s="27">
        <v>4.333333333333333</v>
      </c>
      <c r="D9" s="27">
        <v>4.666666666666667</v>
      </c>
      <c r="E9" s="27">
        <v>4.666666666666667</v>
      </c>
      <c r="F9" s="27">
        <v>4</v>
      </c>
      <c r="G9" s="27">
        <v>4.333333333333333</v>
      </c>
      <c r="H9" s="27">
        <v>4.666666666666667</v>
      </c>
      <c r="I9" s="27">
        <v>4.666666666666667</v>
      </c>
      <c r="J9" s="27">
        <v>4</v>
      </c>
      <c r="K9" s="27">
        <v>4.333333333333333</v>
      </c>
      <c r="L9" s="13"/>
      <c r="M9" s="22"/>
      <c r="N9" s="22"/>
      <c r="O9" s="13"/>
      <c r="S9" s="8"/>
      <c r="T9" s="1"/>
      <c r="U9" s="1"/>
      <c r="AJ9"/>
      <c r="AK9"/>
      <c r="AP9"/>
      <c r="AQ9"/>
      <c r="AR9"/>
    </row>
    <row r="10" spans="1:44" x14ac:dyDescent="0.3">
      <c r="A10" s="26" t="s">
        <v>23</v>
      </c>
      <c r="B10" s="27">
        <v>3.5</v>
      </c>
      <c r="C10" s="27">
        <v>4.5</v>
      </c>
      <c r="D10" s="27">
        <v>4.5</v>
      </c>
      <c r="E10" s="27">
        <v>4.75</v>
      </c>
      <c r="F10" s="27">
        <v>4.25</v>
      </c>
      <c r="G10" s="27">
        <v>4.25</v>
      </c>
      <c r="H10" s="27">
        <v>4.75</v>
      </c>
      <c r="I10" s="27">
        <v>4.75</v>
      </c>
      <c r="J10" s="27">
        <v>4</v>
      </c>
      <c r="K10" s="27">
        <v>4.75</v>
      </c>
      <c r="L10" s="13"/>
      <c r="M10" s="22"/>
      <c r="N10" s="22"/>
      <c r="O10" s="13"/>
      <c r="S10" s="8"/>
      <c r="T10" s="1"/>
      <c r="U10" s="1"/>
      <c r="AJ10"/>
      <c r="AK10"/>
      <c r="AP10"/>
      <c r="AQ10"/>
      <c r="AR10"/>
    </row>
    <row r="11" spans="1:44" x14ac:dyDescent="0.3">
      <c r="A11" s="26" t="s">
        <v>24</v>
      </c>
      <c r="B11" s="27">
        <v>3.5</v>
      </c>
      <c r="C11" s="27">
        <v>4</v>
      </c>
      <c r="D11" s="27">
        <v>4.666666666666667</v>
      </c>
      <c r="E11" s="27">
        <v>4.666666666666667</v>
      </c>
      <c r="F11" s="27">
        <v>4.333333333333333</v>
      </c>
      <c r="G11" s="27">
        <v>4.666666666666667</v>
      </c>
      <c r="H11" s="27">
        <v>4.833333333333333</v>
      </c>
      <c r="I11" s="27">
        <v>5</v>
      </c>
      <c r="J11" s="27">
        <v>4.166666666666667</v>
      </c>
      <c r="K11" s="27">
        <v>4.166666666666667</v>
      </c>
      <c r="L11" s="13"/>
      <c r="M11" s="22"/>
      <c r="N11" s="22"/>
      <c r="O11" s="13"/>
      <c r="S11" s="8"/>
      <c r="T11" s="1"/>
      <c r="U11" s="1"/>
      <c r="AJ11"/>
      <c r="AK11"/>
      <c r="AP11"/>
      <c r="AQ11"/>
      <c r="AR11"/>
    </row>
    <row r="12" spans="1:44" x14ac:dyDescent="0.3">
      <c r="A12" s="28" t="s">
        <v>25</v>
      </c>
      <c r="B12" s="29">
        <v>3.5</v>
      </c>
      <c r="C12" s="29">
        <v>4</v>
      </c>
      <c r="D12" s="29">
        <v>4.5</v>
      </c>
      <c r="E12" s="29">
        <v>4.5</v>
      </c>
      <c r="F12" s="29">
        <v>4.5</v>
      </c>
      <c r="G12" s="29">
        <v>5</v>
      </c>
      <c r="H12" s="29">
        <v>5</v>
      </c>
      <c r="I12" s="29">
        <v>3.5</v>
      </c>
      <c r="J12" s="29">
        <v>4.5</v>
      </c>
      <c r="K12" s="29">
        <v>5</v>
      </c>
      <c r="L12" s="13"/>
      <c r="M12" s="22"/>
      <c r="N12" s="22"/>
      <c r="O12" s="13"/>
      <c r="S12" s="8"/>
      <c r="T12" s="1"/>
      <c r="U12" s="1"/>
      <c r="AJ12"/>
      <c r="AK12"/>
      <c r="AP12"/>
      <c r="AQ12"/>
      <c r="AR12"/>
    </row>
    <row r="13" spans="1:44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2"/>
      <c r="N13" s="23"/>
      <c r="O13" s="13"/>
      <c r="S13" s="8"/>
      <c r="T13" s="1"/>
      <c r="U13" s="1"/>
      <c r="AJ13"/>
      <c r="AK13"/>
      <c r="AP13"/>
      <c r="AQ13"/>
      <c r="AR13"/>
    </row>
    <row r="14" spans="1:44" ht="14.4" x14ac:dyDescent="0.3">
      <c r="AJ14"/>
      <c r="AK14"/>
      <c r="AP14"/>
      <c r="AQ14"/>
      <c r="AR14"/>
    </row>
    <row r="15" spans="1:44" ht="14.4" x14ac:dyDescent="0.3">
      <c r="AJ15"/>
      <c r="AK15"/>
      <c r="AP15"/>
      <c r="AQ15"/>
      <c r="AR15"/>
    </row>
    <row r="16" spans="1:44" ht="14.4" x14ac:dyDescent="0.3">
      <c r="AJ16"/>
      <c r="AK16"/>
      <c r="AP16"/>
      <c r="AQ16"/>
      <c r="AR16"/>
    </row>
    <row r="17" spans="1:44" ht="14.4" x14ac:dyDescent="0.3">
      <c r="AJ17"/>
      <c r="AK17"/>
      <c r="AP17"/>
      <c r="AQ17"/>
      <c r="AR17"/>
    </row>
    <row r="18" spans="1:44" ht="14.4" x14ac:dyDescent="0.3">
      <c r="AJ18"/>
      <c r="AK18"/>
      <c r="AP18"/>
      <c r="AQ18"/>
      <c r="AR18"/>
    </row>
    <row r="19" spans="1:44" ht="14.4" x14ac:dyDescent="0.3">
      <c r="AJ19"/>
      <c r="AK19"/>
      <c r="AP19"/>
      <c r="AQ19"/>
      <c r="AR19"/>
    </row>
    <row r="20" spans="1:44" ht="14.4" x14ac:dyDescent="0.3">
      <c r="A20" s="17"/>
      <c r="B20" s="17"/>
      <c r="C20" s="17"/>
      <c r="D20" s="17"/>
      <c r="E20" s="17"/>
      <c r="F20" s="17"/>
      <c r="G20" s="17"/>
      <c r="H20" s="17"/>
      <c r="I20" s="17"/>
      <c r="Q20" s="17"/>
      <c r="R20" s="17"/>
      <c r="S20" s="17"/>
      <c r="T20" s="17"/>
      <c r="U20" s="17"/>
      <c r="V20" s="17"/>
      <c r="AJ20"/>
      <c r="AK20"/>
      <c r="AP20"/>
      <c r="AQ20"/>
      <c r="AR20"/>
    </row>
    <row r="21" spans="1:44" ht="14.4" x14ac:dyDescent="0.3">
      <c r="A21" s="17"/>
      <c r="B21" s="17"/>
      <c r="C21" s="17"/>
      <c r="D21" s="17"/>
      <c r="E21" s="17"/>
      <c r="F21" s="17"/>
      <c r="G21" s="17"/>
      <c r="H21" s="17"/>
      <c r="I21" s="17"/>
      <c r="Q21" s="17"/>
      <c r="R21" s="17"/>
      <c r="S21" s="17"/>
      <c r="T21" s="17"/>
      <c r="U21" s="17"/>
      <c r="V21" s="17"/>
      <c r="AJ21"/>
      <c r="AK21"/>
      <c r="AP21"/>
      <c r="AQ21"/>
      <c r="AR21"/>
    </row>
    <row r="22" spans="1:44" x14ac:dyDescent="0.3">
      <c r="A22" s="17"/>
      <c r="B22" s="17"/>
      <c r="C22" s="17"/>
      <c r="D22" s="17"/>
      <c r="E22" s="17"/>
      <c r="F22" s="17"/>
      <c r="G22" s="17"/>
      <c r="U22" s="1"/>
      <c r="V22" s="1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22"/>
      <c r="AK22" s="22"/>
      <c r="AL22" s="13"/>
    </row>
    <row r="23" spans="1:44" x14ac:dyDescent="0.3">
      <c r="A23" s="17"/>
      <c r="B23" s="17"/>
      <c r="C23" s="17"/>
      <c r="D23" s="17"/>
      <c r="E23" s="17"/>
      <c r="F23" s="17"/>
      <c r="G23" s="17"/>
      <c r="U23" s="1"/>
      <c r="V23" s="1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22"/>
      <c r="AK23" s="22"/>
      <c r="AL23" s="13"/>
    </row>
    <row r="24" spans="1:44" x14ac:dyDescent="0.3">
      <c r="A24" s="17"/>
      <c r="B24" s="17"/>
      <c r="C24" s="17"/>
      <c r="D24" s="17"/>
      <c r="E24" s="17"/>
      <c r="F24" s="17"/>
      <c r="G24" s="17"/>
      <c r="U24" s="1"/>
      <c r="V24" s="1"/>
    </row>
    <row r="25" spans="1:44" x14ac:dyDescent="0.3">
      <c r="A25" s="17"/>
      <c r="B25" s="17"/>
      <c r="C25" s="17"/>
      <c r="D25" s="17"/>
      <c r="E25" s="17"/>
      <c r="F25" s="17"/>
      <c r="G25" s="17"/>
      <c r="U25" s="1"/>
      <c r="V25" s="1"/>
    </row>
    <row r="26" spans="1:44" x14ac:dyDescent="0.3">
      <c r="A26" s="17"/>
      <c r="B26" s="17"/>
      <c r="C26" s="17"/>
      <c r="D26" s="17"/>
      <c r="E26" s="17"/>
      <c r="F26" s="17"/>
      <c r="G26" s="17"/>
      <c r="U26" s="1"/>
      <c r="V26" s="1"/>
      <c r="AK26" s="2"/>
    </row>
    <row r="27" spans="1:44" x14ac:dyDescent="0.3">
      <c r="A27" s="17"/>
      <c r="B27" s="17"/>
      <c r="C27" s="17"/>
      <c r="D27" s="17"/>
      <c r="E27" s="17"/>
      <c r="F27" s="17"/>
      <c r="G27" s="17"/>
      <c r="U27" s="1"/>
      <c r="V27" s="1"/>
      <c r="AK27" s="2"/>
    </row>
    <row r="28" spans="1:44" x14ac:dyDescent="0.3">
      <c r="A28" s="17"/>
      <c r="B28" s="17"/>
      <c r="C28" s="17"/>
      <c r="D28" s="17"/>
      <c r="E28" s="17"/>
      <c r="F28" s="17"/>
      <c r="G28" s="17"/>
      <c r="U28" s="1"/>
      <c r="V28" s="1"/>
      <c r="AK28" s="2"/>
    </row>
    <row r="29" spans="1:44" x14ac:dyDescent="0.3">
      <c r="U29" s="1"/>
      <c r="V29" s="1"/>
      <c r="AK29" s="2"/>
    </row>
    <row r="30" spans="1:44" x14ac:dyDescent="0.3">
      <c r="U30" s="1"/>
      <c r="V30" s="1"/>
      <c r="AK30" s="2"/>
    </row>
    <row r="31" spans="1:44" x14ac:dyDescent="0.3">
      <c r="U31" s="1"/>
      <c r="V31" s="1"/>
      <c r="AA31" s="8"/>
      <c r="AB31" s="1"/>
      <c r="AC31" s="1"/>
      <c r="AJ31"/>
      <c r="AK31"/>
      <c r="AP31"/>
      <c r="AQ31"/>
      <c r="AR31"/>
    </row>
    <row r="32" spans="1:44" x14ac:dyDescent="0.3">
      <c r="U32" s="1"/>
      <c r="V32" s="1"/>
      <c r="AA32" s="8"/>
      <c r="AB32" s="1"/>
      <c r="AC32" s="1"/>
      <c r="AJ32"/>
      <c r="AK32"/>
      <c r="AP32"/>
      <c r="AQ32"/>
      <c r="AR32"/>
    </row>
    <row r="33" spans="21:44" x14ac:dyDescent="0.3">
      <c r="U33" s="1"/>
      <c r="V33" s="1"/>
      <c r="AA33" s="8"/>
      <c r="AB33" s="1"/>
      <c r="AC33" s="1"/>
      <c r="AJ33"/>
      <c r="AK33"/>
      <c r="AP33"/>
      <c r="AQ33"/>
      <c r="AR33"/>
    </row>
    <row r="34" spans="21:44" x14ac:dyDescent="0.3">
      <c r="U34" s="1"/>
      <c r="V34" s="1"/>
      <c r="AA34" s="8"/>
      <c r="AB34" s="1"/>
      <c r="AC34" s="1"/>
      <c r="AJ34"/>
      <c r="AK34"/>
      <c r="AP34"/>
      <c r="AQ34"/>
      <c r="AR34"/>
    </row>
    <row r="35" spans="21:44" x14ac:dyDescent="0.3">
      <c r="AA35" s="8"/>
      <c r="AB35" s="1"/>
      <c r="AC35" s="1"/>
      <c r="AJ35"/>
      <c r="AK35"/>
      <c r="AP35"/>
      <c r="AQ35"/>
      <c r="AR35"/>
    </row>
    <row r="36" spans="21:44" x14ac:dyDescent="0.3">
      <c r="AA36" s="8"/>
      <c r="AB36" s="1"/>
      <c r="AC36" s="1"/>
      <c r="AJ36"/>
      <c r="AK36"/>
      <c r="AP36"/>
      <c r="AQ36"/>
      <c r="AR36"/>
    </row>
    <row r="37" spans="21:44" x14ac:dyDescent="0.3">
      <c r="AA37" s="8"/>
      <c r="AB37" s="1"/>
      <c r="AC37" s="1"/>
      <c r="AJ37"/>
      <c r="AK37"/>
      <c r="AP37"/>
      <c r="AQ37"/>
      <c r="AR37"/>
    </row>
    <row r="38" spans="21:44" x14ac:dyDescent="0.3">
      <c r="AA38" s="8"/>
      <c r="AB38" s="1"/>
      <c r="AC38" s="1"/>
      <c r="AJ38"/>
      <c r="AK38"/>
      <c r="AP38"/>
      <c r="AQ38"/>
      <c r="AR38"/>
    </row>
    <row r="39" spans="21:44" x14ac:dyDescent="0.3">
      <c r="AA39" s="8"/>
      <c r="AB39" s="1"/>
      <c r="AC39" s="1"/>
      <c r="AJ39"/>
      <c r="AK39"/>
      <c r="AP39"/>
      <c r="AQ39"/>
      <c r="AR39"/>
    </row>
    <row r="40" spans="21:44" x14ac:dyDescent="0.3">
      <c r="AA40" s="8"/>
      <c r="AB40" s="1"/>
      <c r="AC40" s="1"/>
      <c r="AJ40"/>
      <c r="AK40"/>
      <c r="AP40"/>
      <c r="AQ40"/>
      <c r="AR40"/>
    </row>
    <row r="41" spans="21:44" x14ac:dyDescent="0.3">
      <c r="AA41" s="8"/>
      <c r="AB41" s="1"/>
      <c r="AC41" s="1"/>
      <c r="AJ41"/>
      <c r="AK41"/>
      <c r="AP41"/>
      <c r="AQ41"/>
      <c r="AR41"/>
    </row>
    <row r="42" spans="21:44" x14ac:dyDescent="0.3">
      <c r="AA42" s="8"/>
      <c r="AB42" s="1"/>
      <c r="AC42" s="1"/>
      <c r="AJ42"/>
      <c r="AK42"/>
      <c r="AP42"/>
      <c r="AQ42"/>
      <c r="AR42"/>
    </row>
    <row r="43" spans="21:44" x14ac:dyDescent="0.3">
      <c r="AA43" s="8"/>
      <c r="AB43" s="1"/>
      <c r="AC43" s="1"/>
      <c r="AJ43"/>
      <c r="AK43"/>
      <c r="AP43"/>
      <c r="AQ43"/>
      <c r="AR43"/>
    </row>
  </sheetData>
  <phoneticPr fontId="1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F9D9-E386-4DAB-BC76-0F2A3C7EC47E}">
  <dimension ref="A1:Z17"/>
  <sheetViews>
    <sheetView showGridLines="0" tabSelected="1" zoomScale="70" zoomScaleNormal="70" workbookViewId="0">
      <selection activeCell="N13" sqref="N13"/>
    </sheetView>
  </sheetViews>
  <sheetFormatPr defaultRowHeight="14.4" x14ac:dyDescent="0.3"/>
  <cols>
    <col min="1" max="1" width="10.21875" customWidth="1"/>
    <col min="2" max="2" width="16.33203125" bestFit="1" customWidth="1"/>
    <col min="3" max="3" width="17" bestFit="1" customWidth="1"/>
    <col min="4" max="4" width="18" bestFit="1" customWidth="1"/>
    <col min="5" max="10" width="9.109375" bestFit="1" customWidth="1"/>
    <col min="11" max="11" width="10.21875" bestFit="1" customWidth="1"/>
    <col min="12" max="12" width="8.44140625" bestFit="1" customWidth="1"/>
    <col min="14" max="14" width="9.77734375" bestFit="1" customWidth="1"/>
    <col min="15" max="15" width="15.21875" bestFit="1" customWidth="1"/>
    <col min="16" max="16" width="16.109375" bestFit="1" customWidth="1"/>
    <col min="17" max="17" width="17.5546875" bestFit="1" customWidth="1"/>
    <col min="23" max="25" width="8.88671875" style="1"/>
    <col min="26" max="26" width="10" style="1" bestFit="1" customWidth="1"/>
  </cols>
  <sheetData>
    <row r="1" spans="1:18" ht="15.6" x14ac:dyDescent="0.3">
      <c r="A1" s="10" t="s">
        <v>19</v>
      </c>
      <c r="B1" s="7" t="s">
        <v>5</v>
      </c>
      <c r="C1" s="7" t="s">
        <v>6</v>
      </c>
      <c r="D1" s="7" t="s">
        <v>7</v>
      </c>
      <c r="E1" s="10" t="s">
        <v>8</v>
      </c>
      <c r="F1" s="7" t="s">
        <v>9</v>
      </c>
      <c r="G1" s="7" t="s">
        <v>10</v>
      </c>
      <c r="H1" s="7" t="s">
        <v>11</v>
      </c>
      <c r="I1" s="10" t="s">
        <v>12</v>
      </c>
      <c r="J1" s="7" t="s">
        <v>13</v>
      </c>
      <c r="K1" s="7" t="s">
        <v>14</v>
      </c>
      <c r="L1" s="7" t="s">
        <v>18</v>
      </c>
      <c r="N1" s="30" t="s">
        <v>19</v>
      </c>
      <c r="O1" s="30" t="s">
        <v>62</v>
      </c>
      <c r="P1" s="30" t="s">
        <v>63</v>
      </c>
      <c r="Q1" s="38" t="s">
        <v>61</v>
      </c>
      <c r="R1" s="30"/>
    </row>
    <row r="2" spans="1:18" ht="15.6" x14ac:dyDescent="0.3">
      <c r="A2" s="11" t="s">
        <v>20</v>
      </c>
      <c r="B2" s="8">
        <v>12.4</v>
      </c>
      <c r="C2" s="8">
        <v>10.3</v>
      </c>
      <c r="D2" s="8">
        <v>10.8</v>
      </c>
      <c r="E2" s="11">
        <v>9.8000000000000007</v>
      </c>
      <c r="F2" s="8">
        <v>10.1</v>
      </c>
      <c r="G2" s="8">
        <v>11.7</v>
      </c>
      <c r="H2" s="8">
        <v>10.3</v>
      </c>
      <c r="I2" s="11">
        <v>9.9</v>
      </c>
      <c r="J2" s="8">
        <v>9.8000000000000007</v>
      </c>
      <c r="K2" s="8">
        <v>11.1</v>
      </c>
      <c r="L2" s="8">
        <f>AVERAGE(Table25[[#This Row],[TRIAL 1]:[TRIAL 10]])</f>
        <v>10.62</v>
      </c>
      <c r="N2" s="30" t="s">
        <v>20</v>
      </c>
      <c r="O2" s="30">
        <f>AVERAGE(Table9[[#This Row],[TRIAL 1]:[TRIAL 10]])</f>
        <v>12.440000000000001</v>
      </c>
      <c r="P2" s="30">
        <f>Table25[[#This Row],[Average]]</f>
        <v>10.62</v>
      </c>
      <c r="Q2" s="39">
        <f>TRUNC(((O2-P2)/P2)*100,3)</f>
        <v>17.137</v>
      </c>
      <c r="R2" s="30"/>
    </row>
    <row r="3" spans="1:18" ht="15.6" x14ac:dyDescent="0.3">
      <c r="A3" s="11" t="s">
        <v>0</v>
      </c>
      <c r="B3" s="8">
        <v>11</v>
      </c>
      <c r="C3" s="8">
        <v>10.6</v>
      </c>
      <c r="D3" s="8">
        <v>10.8</v>
      </c>
      <c r="E3" s="11">
        <v>9.9</v>
      </c>
      <c r="F3" s="8">
        <v>9.6</v>
      </c>
      <c r="G3" s="8">
        <v>10.4</v>
      </c>
      <c r="H3" s="8">
        <v>11.7</v>
      </c>
      <c r="I3" s="11">
        <v>12.9</v>
      </c>
      <c r="J3" s="8">
        <v>10.7</v>
      </c>
      <c r="K3" s="8">
        <v>11.4</v>
      </c>
      <c r="L3" s="8">
        <f>AVERAGE(Table25[[#This Row],[TRIAL 1]:[TRIAL 10]])</f>
        <v>10.900000000000002</v>
      </c>
      <c r="N3" s="30" t="s">
        <v>0</v>
      </c>
      <c r="O3" s="30">
        <f>AVERAGE(Table9[[#This Row],[TRIAL 1]:[TRIAL 10]])</f>
        <v>12.600000000000001</v>
      </c>
      <c r="P3" s="30">
        <f>Table25[[#This Row],[Average]]</f>
        <v>10.900000000000002</v>
      </c>
      <c r="Q3" s="39">
        <f t="shared" ref="Q3:Q7" si="0">TRUNC(((O3-P3)/P3)*100,3)</f>
        <v>15.596</v>
      </c>
      <c r="R3" s="30"/>
    </row>
    <row r="4" spans="1:18" ht="15.6" x14ac:dyDescent="0.3">
      <c r="A4" s="11" t="s">
        <v>1</v>
      </c>
      <c r="B4" s="8">
        <v>10.8</v>
      </c>
      <c r="C4" s="8">
        <v>10.5</v>
      </c>
      <c r="D4" s="8">
        <v>11.2</v>
      </c>
      <c r="E4" s="11">
        <v>9.9</v>
      </c>
      <c r="F4" s="8">
        <v>10.7</v>
      </c>
      <c r="G4" s="8">
        <v>11.8</v>
      </c>
      <c r="H4" s="8">
        <v>9.6999999999999993</v>
      </c>
      <c r="I4" s="11">
        <v>11.5</v>
      </c>
      <c r="J4" s="8">
        <v>11.6</v>
      </c>
      <c r="K4" s="8">
        <v>11.2</v>
      </c>
      <c r="L4" s="8">
        <f>AVERAGE(Table25[[#This Row],[TRIAL 1]:[TRIAL 10]])</f>
        <v>10.889999999999999</v>
      </c>
      <c r="N4" s="30" t="s">
        <v>1</v>
      </c>
      <c r="O4" s="30">
        <f>AVERAGE(Table9[[#This Row],[TRIAL 1]:[TRIAL 10]])</f>
        <v>12.360000000000001</v>
      </c>
      <c r="P4" s="30">
        <f>Table25[[#This Row],[Average]]</f>
        <v>10.889999999999999</v>
      </c>
      <c r="Q4" s="39">
        <f t="shared" si="0"/>
        <v>13.497999999999999</v>
      </c>
      <c r="R4" s="30"/>
    </row>
    <row r="5" spans="1:18" ht="15.6" x14ac:dyDescent="0.3">
      <c r="A5" s="11" t="s">
        <v>2</v>
      </c>
      <c r="B5" s="8">
        <v>6.8</v>
      </c>
      <c r="C5" s="8">
        <v>10.7</v>
      </c>
      <c r="D5" s="8">
        <v>9.1</v>
      </c>
      <c r="E5" s="11">
        <v>10.5</v>
      </c>
      <c r="F5" s="8">
        <v>8.3000000000000007</v>
      </c>
      <c r="G5" s="8">
        <v>9.4</v>
      </c>
      <c r="H5" s="8">
        <v>10.6</v>
      </c>
      <c r="I5" s="11">
        <v>8.6</v>
      </c>
      <c r="J5" s="8">
        <v>7.5</v>
      </c>
      <c r="K5" s="8">
        <v>10.3</v>
      </c>
      <c r="L5" s="8">
        <f>AVERAGE(Table25[[#This Row],[TRIAL 1]:[TRIAL 10]])</f>
        <v>9.18</v>
      </c>
      <c r="N5" s="30" t="s">
        <v>2</v>
      </c>
      <c r="O5" s="30">
        <f>AVERAGE(Table9[[#This Row],[TRIAL 1]:[TRIAL 10]])</f>
        <v>9.91</v>
      </c>
      <c r="P5" s="30">
        <f>Table25[[#This Row],[Average]]</f>
        <v>9.18</v>
      </c>
      <c r="Q5" s="39">
        <f t="shared" si="0"/>
        <v>7.952</v>
      </c>
      <c r="R5" s="30"/>
    </row>
    <row r="6" spans="1:18" ht="15.6" x14ac:dyDescent="0.3">
      <c r="A6" s="11" t="s">
        <v>3</v>
      </c>
      <c r="B6" s="8">
        <v>8.6999999999999993</v>
      </c>
      <c r="C6" s="8">
        <v>6.9</v>
      </c>
      <c r="D6" s="8">
        <v>11.1</v>
      </c>
      <c r="E6" s="11">
        <v>10.199999999999999</v>
      </c>
      <c r="F6" s="8">
        <v>9.9</v>
      </c>
      <c r="G6" s="8">
        <v>10.8</v>
      </c>
      <c r="H6" s="8">
        <v>7.6</v>
      </c>
      <c r="I6" s="11">
        <v>10</v>
      </c>
      <c r="J6" s="8">
        <v>10.199999999999999</v>
      </c>
      <c r="K6" s="8">
        <v>9.4</v>
      </c>
      <c r="L6" s="8">
        <f>AVERAGE(Table25[[#This Row],[TRIAL 1]:[TRIAL 10]])</f>
        <v>9.48</v>
      </c>
      <c r="N6" s="30" t="s">
        <v>3</v>
      </c>
      <c r="O6" s="30">
        <f>AVERAGE(Table9[[#This Row],[TRIAL 1]:[TRIAL 10]])</f>
        <v>10.318000000000001</v>
      </c>
      <c r="P6" s="30">
        <f>Table25[[#This Row],[Average]]</f>
        <v>9.48</v>
      </c>
      <c r="Q6" s="39">
        <f t="shared" si="0"/>
        <v>8.8390000000000004</v>
      </c>
      <c r="R6" s="30"/>
    </row>
    <row r="7" spans="1:18" ht="15.6" x14ac:dyDescent="0.3">
      <c r="A7" s="12" t="s">
        <v>4</v>
      </c>
      <c r="B7" s="9">
        <v>10.199999999999999</v>
      </c>
      <c r="C7" s="9">
        <v>8.6999999999999993</v>
      </c>
      <c r="D7" s="9">
        <v>9.3000000000000007</v>
      </c>
      <c r="E7" s="12">
        <v>5.8</v>
      </c>
      <c r="F7" s="9">
        <v>6.6</v>
      </c>
      <c r="G7" s="9">
        <v>11.7</v>
      </c>
      <c r="H7" s="9">
        <v>8.1</v>
      </c>
      <c r="I7" s="12">
        <v>7.3</v>
      </c>
      <c r="J7" s="9">
        <v>8.9</v>
      </c>
      <c r="K7" s="9">
        <v>11.3</v>
      </c>
      <c r="L7" s="9">
        <f>AVERAGE(Table25[[#This Row],[TRIAL 1]:[TRIAL 10]])</f>
        <v>8.7900000000000009</v>
      </c>
      <c r="N7" s="30" t="s">
        <v>4</v>
      </c>
      <c r="O7" s="30">
        <f>AVERAGE(Table9[[#This Row],[TRIAL 1]:[TRIAL 10]])</f>
        <v>9.32</v>
      </c>
      <c r="P7" s="30">
        <f>Table25[[#This Row],[Average]]</f>
        <v>8.7900000000000009</v>
      </c>
      <c r="Q7" s="39">
        <f t="shared" si="0"/>
        <v>6.0289999999999999</v>
      </c>
      <c r="R7" s="30"/>
    </row>
    <row r="8" spans="1:18" x14ac:dyDescent="0.3">
      <c r="N8" s="30"/>
      <c r="O8" s="30"/>
      <c r="P8" s="30"/>
      <c r="Q8" s="38"/>
      <c r="R8" s="30"/>
    </row>
    <row r="10" spans="1:18" x14ac:dyDescent="0.3">
      <c r="L10" s="1"/>
      <c r="M10" s="1"/>
    </row>
    <row r="11" spans="1:18" ht="15.6" x14ac:dyDescent="0.3">
      <c r="A11" s="10" t="s">
        <v>19</v>
      </c>
      <c r="B11" s="7" t="s">
        <v>62</v>
      </c>
      <c r="C11" s="7" t="s">
        <v>63</v>
      </c>
      <c r="D11" s="7" t="s">
        <v>61</v>
      </c>
      <c r="L11" s="1"/>
      <c r="M11" s="1"/>
    </row>
    <row r="12" spans="1:18" ht="15.6" x14ac:dyDescent="0.3">
      <c r="A12" s="11" t="s">
        <v>20</v>
      </c>
      <c r="B12" s="8">
        <f t="shared" ref="B12:B17" si="1">O2</f>
        <v>12.440000000000001</v>
      </c>
      <c r="C12" s="8">
        <f t="shared" ref="C12:C17" si="2">L2</f>
        <v>10.62</v>
      </c>
      <c r="D12" s="8">
        <f t="shared" ref="D12:D17" si="3">Q2</f>
        <v>17.137</v>
      </c>
      <c r="L12" s="1"/>
      <c r="M12" s="1"/>
    </row>
    <row r="13" spans="1:18" ht="15.6" x14ac:dyDescent="0.3">
      <c r="A13" s="11" t="s">
        <v>0</v>
      </c>
      <c r="B13" s="8">
        <f t="shared" si="1"/>
        <v>12.600000000000001</v>
      </c>
      <c r="C13" s="8">
        <f t="shared" si="2"/>
        <v>10.900000000000002</v>
      </c>
      <c r="D13" s="8">
        <f t="shared" si="3"/>
        <v>15.596</v>
      </c>
      <c r="L13" s="1"/>
      <c r="M13" s="1"/>
    </row>
    <row r="14" spans="1:18" ht="15.6" x14ac:dyDescent="0.3">
      <c r="A14" s="11" t="s">
        <v>1</v>
      </c>
      <c r="B14" s="8">
        <f t="shared" si="1"/>
        <v>12.360000000000001</v>
      </c>
      <c r="C14" s="8">
        <f t="shared" si="2"/>
        <v>10.889999999999999</v>
      </c>
      <c r="D14" s="8">
        <f t="shared" si="3"/>
        <v>13.497999999999999</v>
      </c>
      <c r="L14" s="1"/>
      <c r="M14" s="1"/>
    </row>
    <row r="15" spans="1:18" ht="15.6" x14ac:dyDescent="0.3">
      <c r="A15" s="11" t="s">
        <v>2</v>
      </c>
      <c r="B15" s="8">
        <f t="shared" si="1"/>
        <v>9.91</v>
      </c>
      <c r="C15" s="8">
        <f t="shared" si="2"/>
        <v>9.18</v>
      </c>
      <c r="D15" s="8">
        <f t="shared" si="3"/>
        <v>7.952</v>
      </c>
      <c r="L15" s="1"/>
      <c r="M15" s="1"/>
    </row>
    <row r="16" spans="1:18" ht="15.6" x14ac:dyDescent="0.3">
      <c r="A16" s="11" t="s">
        <v>3</v>
      </c>
      <c r="B16" s="8">
        <f t="shared" si="1"/>
        <v>10.318000000000001</v>
      </c>
      <c r="C16" s="8">
        <f t="shared" si="2"/>
        <v>9.48</v>
      </c>
      <c r="D16" s="8">
        <f t="shared" si="3"/>
        <v>8.8390000000000004</v>
      </c>
      <c r="L16" s="1"/>
      <c r="M16" s="1"/>
    </row>
    <row r="17" spans="1:4" ht="15.6" x14ac:dyDescent="0.3">
      <c r="A17" s="12" t="s">
        <v>4</v>
      </c>
      <c r="B17" s="9">
        <f t="shared" si="1"/>
        <v>9.32</v>
      </c>
      <c r="C17" s="9">
        <f t="shared" si="2"/>
        <v>8.7900000000000009</v>
      </c>
      <c r="D17" s="9">
        <f t="shared" si="3"/>
        <v>6.0289999999999999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OBJECTIVES OF THE STUDY</vt:lpstr>
      <vt:lpstr>DASHBOARD</vt:lpstr>
      <vt:lpstr>STACK TEST</vt:lpstr>
      <vt:lpstr>SPEED TEST DATA</vt:lpstr>
      <vt:lpstr>POWER TEST</vt:lpstr>
      <vt:lpstr>EVAULUATION</vt:lpstr>
      <vt:lpstr>VOLTAGE REGULATION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Miguel Badoria</dc:creator>
  <cp:lastModifiedBy>Joshua Miguel Badoria</cp:lastModifiedBy>
  <dcterms:created xsi:type="dcterms:W3CDTF">2025-02-17T15:44:31Z</dcterms:created>
  <dcterms:modified xsi:type="dcterms:W3CDTF">2025-11-15T16:10:12Z</dcterms:modified>
</cp:coreProperties>
</file>
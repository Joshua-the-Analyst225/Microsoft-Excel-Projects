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pivotTables/pivotTable1.xml" ContentType="application/vnd.openxmlformats-officedocument.spreadsheetml.pivot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7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ortfolio\Excel\Cleaned File\resume\academic\"/>
    </mc:Choice>
  </mc:AlternateContent>
  <xr:revisionPtr revIDLastSave="0" documentId="13_ncr:1_{B4684ECD-4B52-468B-937A-7761C78FB7B5}" xr6:coauthVersionLast="47" xr6:coauthVersionMax="47" xr10:uidLastSave="{00000000-0000-0000-0000-000000000000}"/>
  <bookViews>
    <workbookView xWindow="-108" yWindow="-108" windowWidth="23256" windowHeight="13176" firstSheet="1" activeTab="5" xr2:uid="{7A4FAB80-CB3D-4F1E-97FE-32F726D98660}"/>
  </bookViews>
  <sheets>
    <sheet name="DASHBOARD" sheetId="11" r:id="rId1"/>
    <sheet name="STUDY AREA 1" sheetId="1" r:id="rId2"/>
    <sheet name="STUDY AREA 2" sheetId="2" r:id="rId3"/>
    <sheet name="STUDY AREA 3" sheetId="4" r:id="rId4"/>
    <sheet name="STUDY AREA 4" sheetId="5" r:id="rId5"/>
    <sheet name="FEEDER AND SUBSTATION" sheetId="7" r:id="rId6"/>
    <sheet name="POWERPLANT" sheetId="10" r:id="rId7"/>
    <sheet name="BREAKERS" sheetId="9" r:id="rId8"/>
    <sheet name="LOOKUP VALUES" sheetId="8" state="hidden" r:id="rId9"/>
  </sheets>
  <definedNames>
    <definedName name="_xlchart.v1.0" hidden="1">POWERPLANT!$A$3:$A$4</definedName>
    <definedName name="_xlchart.v1.1" hidden="1">POWERPLANT!$C$3:$C$4</definedName>
    <definedName name="_xlcn.WorksheetConnection_PowerplantandDistributionDesignCalculations.xlsxTable21" hidden="1">Table2[]</definedName>
    <definedName name="_xlcn.WorksheetConnection_PowerplantandDistributionDesignCalculations.xlsxTable31" hidden="1">Table3[]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Bulk Users" connection="WorksheetConnection_Powerplant and Distribution Design Calculations.xlsx!Table3"/>
          <x15:modelTable id="Table2" name="Feeders" connection="WorksheetConnection_Powerplant and Distribution Design Calculations.xlsx!Table2"/>
        </x15:modelTables>
        <x15:modelRelationships>
          <x15:modelRelationship fromTable="Bulk Users" fromColumn="FEEDER" toTable="Feeders" toColumn="FEEDER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7" l="1"/>
  <c r="C15" i="7"/>
  <c r="C16" i="7"/>
  <c r="C13" i="7"/>
  <c r="AG3" i="9" l="1"/>
  <c r="AG2" i="9"/>
  <c r="W3" i="9"/>
  <c r="W2" i="9"/>
  <c r="M3" i="9"/>
  <c r="M2" i="9"/>
  <c r="D4" i="10"/>
  <c r="D3" i="10"/>
  <c r="W27" i="7"/>
  <c r="W28" i="7" s="1"/>
  <c r="AD28" i="7"/>
  <c r="AA28" i="7"/>
  <c r="H3" i="8" l="1"/>
  <c r="H4" i="8"/>
  <c r="H5" i="8"/>
  <c r="H6" i="8"/>
  <c r="H7" i="8"/>
  <c r="H8" i="8"/>
  <c r="H9" i="8"/>
  <c r="H10" i="8"/>
  <c r="H11" i="8"/>
  <c r="H12" i="8"/>
  <c r="H13" i="8"/>
  <c r="H14" i="8"/>
  <c r="H2" i="8"/>
  <c r="Y29" i="1"/>
  <c r="C23" i="9" s="1"/>
  <c r="Y23" i="1"/>
  <c r="C98" i="9" s="1"/>
  <c r="Y20" i="1"/>
  <c r="C18" i="9" s="1"/>
  <c r="D18" i="9" s="1"/>
  <c r="Y12" i="1"/>
  <c r="C13" i="9" s="1"/>
  <c r="Y4" i="1"/>
  <c r="C8" i="9" s="1"/>
  <c r="G10" i="9" s="1"/>
  <c r="Y126" i="5"/>
  <c r="AG83" i="9" s="1"/>
  <c r="Y118" i="5"/>
  <c r="AG78" i="9" s="1"/>
  <c r="Y110" i="5"/>
  <c r="AG73" i="9" s="1"/>
  <c r="Y102" i="5"/>
  <c r="AG68" i="9" s="1"/>
  <c r="Y94" i="5"/>
  <c r="AG63" i="9" s="1"/>
  <c r="AK65" i="9" s="1"/>
  <c r="Y86" i="5"/>
  <c r="AG58" i="9" s="1"/>
  <c r="AH60" i="9" s="1"/>
  <c r="Y78" i="5"/>
  <c r="Y70" i="5"/>
  <c r="AG48" i="9" s="1"/>
  <c r="Y62" i="5"/>
  <c r="Y56" i="5"/>
  <c r="AG93" i="9" s="1"/>
  <c r="Y53" i="5"/>
  <c r="AG38" i="9" s="1"/>
  <c r="Y45" i="5"/>
  <c r="AG33" i="9" s="1"/>
  <c r="AK35" i="9" s="1"/>
  <c r="Y37" i="5"/>
  <c r="AG28" i="9" s="1"/>
  <c r="AH30" i="9" s="1"/>
  <c r="Y29" i="5"/>
  <c r="AG23" i="9" s="1"/>
  <c r="Y21" i="5"/>
  <c r="AG18" i="9" s="1"/>
  <c r="Y13" i="5"/>
  <c r="AG13" i="9" s="1"/>
  <c r="Y7" i="5"/>
  <c r="AG88" i="9" s="1"/>
  <c r="AK88" i="9" s="1"/>
  <c r="Y4" i="5"/>
  <c r="AG8" i="9" s="1"/>
  <c r="Y118" i="4"/>
  <c r="W78" i="9" s="1"/>
  <c r="Y110" i="4"/>
  <c r="W73" i="9" s="1"/>
  <c r="Y102" i="4"/>
  <c r="W68" i="9" s="1"/>
  <c r="Y96" i="4"/>
  <c r="W88" i="9" s="1"/>
  <c r="Y93" i="4"/>
  <c r="W63" i="9" s="1"/>
  <c r="AA65" i="9" s="1"/>
  <c r="Y85" i="4"/>
  <c r="W58" i="9" s="1"/>
  <c r="Y77" i="4"/>
  <c r="W53" i="9" s="1"/>
  <c r="X55" i="9" s="1"/>
  <c r="Y55" i="9" s="1"/>
  <c r="Z55" i="9" s="1"/>
  <c r="Y71" i="4"/>
  <c r="W83" i="9" s="1"/>
  <c r="Y68" i="4"/>
  <c r="W48" i="9" s="1"/>
  <c r="AB48" i="9" s="1"/>
  <c r="Y60" i="4"/>
  <c r="W43" i="9" s="1"/>
  <c r="X43" i="9" s="1"/>
  <c r="Y52" i="4"/>
  <c r="W38" i="9" s="1"/>
  <c r="X40" i="9" s="1"/>
  <c r="Y44" i="4"/>
  <c r="W33" i="9" s="1"/>
  <c r="Y36" i="4"/>
  <c r="W28" i="9" s="1"/>
  <c r="Y28" i="4"/>
  <c r="W23" i="9" s="1"/>
  <c r="Y20" i="4"/>
  <c r="W18" i="9" s="1"/>
  <c r="Y12" i="4"/>
  <c r="W13" i="9" s="1"/>
  <c r="Y4" i="4"/>
  <c r="W8" i="9" s="1"/>
  <c r="Y116" i="2"/>
  <c r="M78" i="9" s="1"/>
  <c r="N78" i="9" s="1"/>
  <c r="Y111" i="2"/>
  <c r="M88" i="9" s="1"/>
  <c r="Y100" i="2"/>
  <c r="M68" i="9" s="1"/>
  <c r="Y92" i="2"/>
  <c r="M63" i="9" s="1"/>
  <c r="N63" i="9" s="1"/>
  <c r="Y84" i="2"/>
  <c r="M58" i="9" s="1"/>
  <c r="Y76" i="2"/>
  <c r="M53" i="9" s="1"/>
  <c r="Y68" i="2"/>
  <c r="M48" i="9" s="1"/>
  <c r="R48" i="9" s="1"/>
  <c r="Y60" i="2"/>
  <c r="Y52" i="2"/>
  <c r="M38" i="9" s="1"/>
  <c r="Y44" i="2"/>
  <c r="M33" i="9" s="1"/>
  <c r="Y36" i="2"/>
  <c r="M28" i="9" s="1"/>
  <c r="Y28" i="2"/>
  <c r="M23" i="9" s="1"/>
  <c r="Y23" i="2"/>
  <c r="M83" i="9" s="1"/>
  <c r="Y20" i="2"/>
  <c r="M18" i="9" s="1"/>
  <c r="Y12" i="2"/>
  <c r="M13" i="9" s="1"/>
  <c r="Y4" i="2"/>
  <c r="Y142" i="1"/>
  <c r="C93" i="9" s="1"/>
  <c r="Y134" i="1"/>
  <c r="C88" i="9" s="1"/>
  <c r="Y126" i="1"/>
  <c r="C83" i="9" s="1"/>
  <c r="Y118" i="1"/>
  <c r="C78" i="9" s="1"/>
  <c r="Y110" i="1"/>
  <c r="C73" i="9" s="1"/>
  <c r="Y102" i="1"/>
  <c r="C68" i="9" s="1"/>
  <c r="G70" i="9" s="1"/>
  <c r="Y94" i="1"/>
  <c r="C63" i="9" s="1"/>
  <c r="D65" i="9" s="1"/>
  <c r="Y86" i="1"/>
  <c r="C58" i="9" s="1"/>
  <c r="Y78" i="1"/>
  <c r="C53" i="9" s="1"/>
  <c r="D55" i="9" s="1"/>
  <c r="Y70" i="1"/>
  <c r="C48" i="9" s="1"/>
  <c r="Y64" i="1"/>
  <c r="C103" i="9" s="1"/>
  <c r="H105" i="9" s="1"/>
  <c r="Y61" i="1"/>
  <c r="C43" i="9" s="1"/>
  <c r="Y53" i="1"/>
  <c r="C38" i="9" s="1"/>
  <c r="Y45" i="1"/>
  <c r="C33" i="9" s="1"/>
  <c r="H35" i="9" s="1"/>
  <c r="Y37" i="1"/>
  <c r="C28" i="9" s="1"/>
  <c r="H30" i="9" s="1"/>
  <c r="AG53" i="9"/>
  <c r="AH55" i="9" s="1"/>
  <c r="AG43" i="9"/>
  <c r="AH45" i="9" s="1"/>
  <c r="M73" i="9"/>
  <c r="N73" i="9" s="1"/>
  <c r="M43" i="9"/>
  <c r="N45" i="9" s="1"/>
  <c r="M8" i="9"/>
  <c r="N10" i="9" s="1"/>
  <c r="C3" i="9"/>
  <c r="C2" i="9"/>
  <c r="AK90" i="9" l="1"/>
  <c r="AH35" i="9"/>
  <c r="AL30" i="9"/>
  <c r="AM30" i="9" s="1"/>
  <c r="AN30" i="9" s="1"/>
  <c r="AL90" i="9"/>
  <c r="AH75" i="9"/>
  <c r="AI75" i="9" s="1"/>
  <c r="AJ75" i="9" s="1"/>
  <c r="AK75" i="9"/>
  <c r="AL75" i="9"/>
  <c r="AL73" i="9"/>
  <c r="AK73" i="9"/>
  <c r="AH80" i="9"/>
  <c r="AI80" i="9" s="1"/>
  <c r="AJ80" i="9" s="1"/>
  <c r="AK80" i="9"/>
  <c r="AL80" i="9"/>
  <c r="AK78" i="9"/>
  <c r="AL78" i="9"/>
  <c r="AH83" i="9"/>
  <c r="AI83" i="9" s="1"/>
  <c r="AJ83" i="9" s="1"/>
  <c r="AK85" i="9"/>
  <c r="AL85" i="9"/>
  <c r="AL83" i="9"/>
  <c r="AK83" i="9"/>
  <c r="AH40" i="9"/>
  <c r="AK38" i="9"/>
  <c r="AL38" i="9"/>
  <c r="AL40" i="9"/>
  <c r="AK40" i="9"/>
  <c r="AK50" i="9"/>
  <c r="AH50" i="9"/>
  <c r="AI50" i="9" s="1"/>
  <c r="AJ50" i="9" s="1"/>
  <c r="AL50" i="9"/>
  <c r="AK48" i="9"/>
  <c r="AL48" i="9"/>
  <c r="AL8" i="9"/>
  <c r="AK8" i="9"/>
  <c r="AH10" i="9"/>
  <c r="AI10" i="9" s="1"/>
  <c r="AJ10" i="9" s="1"/>
  <c r="AK10" i="9"/>
  <c r="AL10" i="9"/>
  <c r="AK20" i="9"/>
  <c r="AL20" i="9"/>
  <c r="AH20" i="9"/>
  <c r="AK18" i="9"/>
  <c r="AL18" i="9"/>
  <c r="AH23" i="9"/>
  <c r="AL23" i="9"/>
  <c r="AK25" i="9"/>
  <c r="AL25" i="9"/>
  <c r="AK23" i="9"/>
  <c r="AH15" i="9"/>
  <c r="AI15" i="9" s="1"/>
  <c r="AJ15" i="9" s="1"/>
  <c r="AK15" i="9"/>
  <c r="AL15" i="9"/>
  <c r="AK13" i="9"/>
  <c r="AL13" i="9"/>
  <c r="AH70" i="9"/>
  <c r="AI70" i="9" s="1"/>
  <c r="AJ70" i="9" s="1"/>
  <c r="AK68" i="9"/>
  <c r="AL68" i="9"/>
  <c r="AK70" i="9"/>
  <c r="AL70" i="9"/>
  <c r="AH65" i="9"/>
  <c r="AI65" i="9" s="1"/>
  <c r="AJ65" i="9" s="1"/>
  <c r="AH95" i="9"/>
  <c r="AI95" i="9" s="1"/>
  <c r="AJ95" i="9" s="1"/>
  <c r="AH93" i="9"/>
  <c r="AL43" i="9"/>
  <c r="AK43" i="9"/>
  <c r="AL45" i="9"/>
  <c r="AM45" i="9" s="1"/>
  <c r="AN45" i="9" s="1"/>
  <c r="AK45" i="9"/>
  <c r="AL55" i="9"/>
  <c r="AM55" i="9" s="1"/>
  <c r="AN55" i="9" s="1"/>
  <c r="AK55" i="9"/>
  <c r="AL28" i="9"/>
  <c r="AL58" i="9"/>
  <c r="AL88" i="9"/>
  <c r="AK28" i="9"/>
  <c r="AK58" i="9"/>
  <c r="AK30" i="9"/>
  <c r="AK60" i="9"/>
  <c r="AL33" i="9"/>
  <c r="AL63" i="9"/>
  <c r="AL93" i="9"/>
  <c r="AK33" i="9"/>
  <c r="AK63" i="9"/>
  <c r="AK93" i="9"/>
  <c r="AL53" i="9"/>
  <c r="AK53" i="9"/>
  <c r="AL60" i="9"/>
  <c r="AM60" i="9" s="1"/>
  <c r="AN60" i="9" s="1"/>
  <c r="AH63" i="9"/>
  <c r="AI63" i="9" s="1"/>
  <c r="AJ63" i="9" s="1"/>
  <c r="AH88" i="9"/>
  <c r="AH90" i="9"/>
  <c r="AL35" i="9"/>
  <c r="AM35" i="9" s="1"/>
  <c r="AN35" i="9" s="1"/>
  <c r="AL65" i="9"/>
  <c r="AL95" i="9"/>
  <c r="AK95" i="9"/>
  <c r="AB58" i="9"/>
  <c r="X60" i="9"/>
  <c r="X8" i="9"/>
  <c r="AA10" i="9"/>
  <c r="AA8" i="9"/>
  <c r="AB8" i="9"/>
  <c r="AC8" i="9" s="1"/>
  <c r="AD8" i="9" s="1"/>
  <c r="AB10" i="9"/>
  <c r="AB63" i="9"/>
  <c r="X63" i="9"/>
  <c r="Y63" i="9" s="1"/>
  <c r="Z63" i="9" s="1"/>
  <c r="X65" i="9"/>
  <c r="Y65" i="9" s="1"/>
  <c r="Z65" i="9" s="1"/>
  <c r="AB65" i="9"/>
  <c r="X70" i="9"/>
  <c r="AA68" i="9"/>
  <c r="AB68" i="9"/>
  <c r="AA70" i="9"/>
  <c r="AB70" i="9"/>
  <c r="X23" i="9"/>
  <c r="Y23" i="9" s="1"/>
  <c r="Z23" i="9" s="1"/>
  <c r="AA25" i="9"/>
  <c r="AA23" i="9"/>
  <c r="AB78" i="9"/>
  <c r="AA80" i="9"/>
  <c r="AA78" i="9"/>
  <c r="X80" i="9"/>
  <c r="X13" i="9"/>
  <c r="AA13" i="9"/>
  <c r="AB13" i="9"/>
  <c r="AA15" i="9"/>
  <c r="X20" i="9"/>
  <c r="Y20" i="9" s="1"/>
  <c r="Z20" i="9" s="1"/>
  <c r="AA18" i="9"/>
  <c r="AA20" i="9"/>
  <c r="X75" i="9"/>
  <c r="Y75" i="9" s="1"/>
  <c r="Z75" i="9" s="1"/>
  <c r="AA73" i="9"/>
  <c r="AA75" i="9"/>
  <c r="AB73" i="9"/>
  <c r="AB28" i="9"/>
  <c r="X30" i="9"/>
  <c r="Y30" i="9" s="1"/>
  <c r="Z30" i="9" s="1"/>
  <c r="X28" i="9"/>
  <c r="Y28" i="9" s="1"/>
  <c r="Z28" i="9" s="1"/>
  <c r="AB30" i="9"/>
  <c r="AA28" i="9"/>
  <c r="AA35" i="9"/>
  <c r="AB33" i="9"/>
  <c r="X35" i="9"/>
  <c r="Y35" i="9" s="1"/>
  <c r="Z35" i="9" s="1"/>
  <c r="AB35" i="9"/>
  <c r="AA85" i="9"/>
  <c r="AA83" i="9"/>
  <c r="AB38" i="9"/>
  <c r="AB40" i="9"/>
  <c r="AC40" i="9" s="1"/>
  <c r="AD40" i="9" s="1"/>
  <c r="AA38" i="9"/>
  <c r="AA40" i="9"/>
  <c r="AB60" i="9"/>
  <c r="X88" i="9"/>
  <c r="X90" i="9"/>
  <c r="Y90" i="9" s="1"/>
  <c r="Z90" i="9" s="1"/>
  <c r="AB90" i="9"/>
  <c r="AA43" i="9"/>
  <c r="AA45" i="9"/>
  <c r="AA48" i="9"/>
  <c r="AB43" i="9"/>
  <c r="AC43" i="9" s="1"/>
  <c r="AD43" i="9" s="1"/>
  <c r="AA50" i="9"/>
  <c r="X85" i="9"/>
  <c r="Y85" i="9" s="1"/>
  <c r="Z85" i="9" s="1"/>
  <c r="X83" i="9"/>
  <c r="Y83" i="9" s="1"/>
  <c r="Z83" i="9" s="1"/>
  <c r="AB20" i="9"/>
  <c r="AB50" i="9"/>
  <c r="AB80" i="9"/>
  <c r="AA58" i="9"/>
  <c r="X50" i="9"/>
  <c r="Y50" i="9" s="1"/>
  <c r="Z50" i="9" s="1"/>
  <c r="AB23" i="9"/>
  <c r="AB53" i="9"/>
  <c r="AB83" i="9"/>
  <c r="AA30" i="9"/>
  <c r="AA60" i="9"/>
  <c r="AA90" i="9"/>
  <c r="AB18" i="9"/>
  <c r="AA55" i="9"/>
  <c r="AA88" i="9"/>
  <c r="X53" i="9"/>
  <c r="AB25" i="9"/>
  <c r="AB55" i="9"/>
  <c r="AC55" i="9" s="1"/>
  <c r="AD55" i="9" s="1"/>
  <c r="AB85" i="9"/>
  <c r="AA33" i="9"/>
  <c r="AA63" i="9"/>
  <c r="AB15" i="9"/>
  <c r="AB45" i="9"/>
  <c r="AB75" i="9"/>
  <c r="AA53" i="9"/>
  <c r="AB88" i="9"/>
  <c r="R80" i="9"/>
  <c r="Q65" i="9"/>
  <c r="R50" i="9"/>
  <c r="Q10" i="9"/>
  <c r="Q73" i="9"/>
  <c r="Q8" i="9"/>
  <c r="Q63" i="9"/>
  <c r="Q75" i="9"/>
  <c r="N70" i="9"/>
  <c r="O70" i="9" s="1"/>
  <c r="P70" i="9" s="1"/>
  <c r="R70" i="9"/>
  <c r="R68" i="9"/>
  <c r="Q70" i="9"/>
  <c r="Q68" i="9"/>
  <c r="N88" i="9"/>
  <c r="N90" i="9"/>
  <c r="Q90" i="9"/>
  <c r="Q88" i="9"/>
  <c r="R90" i="9"/>
  <c r="R88" i="9"/>
  <c r="N25" i="9"/>
  <c r="Q25" i="9"/>
  <c r="Q23" i="9"/>
  <c r="R25" i="9"/>
  <c r="R23" i="9"/>
  <c r="N15" i="9"/>
  <c r="O15" i="9" s="1"/>
  <c r="P15" i="9" s="1"/>
  <c r="Q15" i="9"/>
  <c r="R15" i="9"/>
  <c r="R13" i="9"/>
  <c r="Q13" i="9"/>
  <c r="R18" i="9"/>
  <c r="Q18" i="9"/>
  <c r="Q20" i="9"/>
  <c r="N20" i="9"/>
  <c r="O20" i="9" s="1"/>
  <c r="P20" i="9" s="1"/>
  <c r="R20" i="9"/>
  <c r="N33" i="9"/>
  <c r="R35" i="9"/>
  <c r="R33" i="9"/>
  <c r="Q35" i="9"/>
  <c r="Q33" i="9"/>
  <c r="N55" i="9"/>
  <c r="O55" i="9" s="1"/>
  <c r="P55" i="9" s="1"/>
  <c r="Q55" i="9"/>
  <c r="Q53" i="9"/>
  <c r="R55" i="9"/>
  <c r="R53" i="9"/>
  <c r="Q60" i="9"/>
  <c r="Q58" i="9"/>
  <c r="N58" i="9"/>
  <c r="R60" i="9"/>
  <c r="R58" i="9"/>
  <c r="N85" i="9"/>
  <c r="N83" i="9"/>
  <c r="O83" i="9" s="1"/>
  <c r="P83" i="9" s="1"/>
  <c r="Q85" i="9"/>
  <c r="Q83" i="9"/>
  <c r="R85" i="9"/>
  <c r="R83" i="9"/>
  <c r="Q30" i="9"/>
  <c r="N30" i="9"/>
  <c r="O30" i="9" s="1"/>
  <c r="P30" i="9" s="1"/>
  <c r="N28" i="9"/>
  <c r="Q28" i="9"/>
  <c r="R30" i="9"/>
  <c r="R28" i="9"/>
  <c r="N40" i="9"/>
  <c r="O40" i="9" s="1"/>
  <c r="P40" i="9" s="1"/>
  <c r="N38" i="9"/>
  <c r="R40" i="9"/>
  <c r="S40" i="9" s="1"/>
  <c r="T40" i="9" s="1"/>
  <c r="R38" i="9"/>
  <c r="Q40" i="9"/>
  <c r="Q38" i="9"/>
  <c r="Q43" i="9"/>
  <c r="N48" i="9"/>
  <c r="O48" i="9" s="1"/>
  <c r="P48" i="9" s="1"/>
  <c r="R65" i="9"/>
  <c r="Q48" i="9"/>
  <c r="R8" i="9"/>
  <c r="Q50" i="9"/>
  <c r="Q80" i="9"/>
  <c r="R10" i="9"/>
  <c r="S10" i="9" s="1"/>
  <c r="T10" i="9" s="1"/>
  <c r="R43" i="9"/>
  <c r="R73" i="9"/>
  <c r="S73" i="9" s="1"/>
  <c r="T73" i="9" s="1"/>
  <c r="R45" i="9"/>
  <c r="S45" i="9" s="1"/>
  <c r="T45" i="9" s="1"/>
  <c r="R75" i="9"/>
  <c r="R63" i="9"/>
  <c r="S63" i="9" s="1"/>
  <c r="T63" i="9" s="1"/>
  <c r="Q45" i="9"/>
  <c r="Q78" i="9"/>
  <c r="R78" i="9"/>
  <c r="S78" i="9" s="1"/>
  <c r="T78" i="9" s="1"/>
  <c r="D60" i="9"/>
  <c r="D58" i="9"/>
  <c r="E58" i="9" s="1"/>
  <c r="F58" i="9" s="1"/>
  <c r="D53" i="9"/>
  <c r="E53" i="9" s="1"/>
  <c r="F53" i="9" s="1"/>
  <c r="D50" i="9"/>
  <c r="E50" i="9" s="1"/>
  <c r="F50" i="9" s="1"/>
  <c r="H50" i="9"/>
  <c r="H48" i="9"/>
  <c r="G50" i="9"/>
  <c r="G48" i="9"/>
  <c r="D75" i="9"/>
  <c r="E75" i="9" s="1"/>
  <c r="F75" i="9" s="1"/>
  <c r="G73" i="9"/>
  <c r="H75" i="9"/>
  <c r="H73" i="9"/>
  <c r="G75" i="9"/>
  <c r="D25" i="9"/>
  <c r="E25" i="9" s="1"/>
  <c r="F25" i="9" s="1"/>
  <c r="D23" i="9"/>
  <c r="E23" i="9" s="1"/>
  <c r="F23" i="9" s="1"/>
  <c r="H25" i="9"/>
  <c r="H23" i="9"/>
  <c r="G25" i="9"/>
  <c r="G23" i="9"/>
  <c r="D83" i="9"/>
  <c r="E83" i="9" s="1"/>
  <c r="F83" i="9" s="1"/>
  <c r="D85" i="9"/>
  <c r="H85" i="9"/>
  <c r="H83" i="9"/>
  <c r="G85" i="9"/>
  <c r="G83" i="9"/>
  <c r="D90" i="9"/>
  <c r="E90" i="9" s="1"/>
  <c r="F90" i="9" s="1"/>
  <c r="D88" i="9"/>
  <c r="E88" i="9" s="1"/>
  <c r="F88" i="9" s="1"/>
  <c r="H90" i="9"/>
  <c r="H88" i="9"/>
  <c r="I88" i="9" s="1"/>
  <c r="J88" i="9" s="1"/>
  <c r="G90" i="9"/>
  <c r="G88" i="9"/>
  <c r="D13" i="9"/>
  <c r="E13" i="9" s="1"/>
  <c r="F13" i="9" s="1"/>
  <c r="G13" i="9"/>
  <c r="D15" i="9"/>
  <c r="H15" i="9"/>
  <c r="H13" i="9"/>
  <c r="G15" i="9"/>
  <c r="D98" i="9"/>
  <c r="H98" i="9"/>
  <c r="D100" i="9"/>
  <c r="G100" i="9"/>
  <c r="G98" i="9"/>
  <c r="H100" i="9"/>
  <c r="D78" i="9"/>
  <c r="E78" i="9" s="1"/>
  <c r="F78" i="9" s="1"/>
  <c r="H80" i="9"/>
  <c r="H78" i="9"/>
  <c r="G80" i="9"/>
  <c r="G78" i="9"/>
  <c r="D38" i="9"/>
  <c r="G40" i="9"/>
  <c r="G38" i="9"/>
  <c r="H40" i="9"/>
  <c r="H38" i="9"/>
  <c r="D95" i="9"/>
  <c r="H95" i="9"/>
  <c r="H93" i="9"/>
  <c r="G95" i="9"/>
  <c r="G93" i="9"/>
  <c r="D45" i="9"/>
  <c r="E45" i="9" s="1"/>
  <c r="F45" i="9" s="1"/>
  <c r="G43" i="9"/>
  <c r="H45" i="9"/>
  <c r="H43" i="9"/>
  <c r="G45" i="9"/>
  <c r="H68" i="9"/>
  <c r="G105" i="9"/>
  <c r="H8" i="9"/>
  <c r="H70" i="9"/>
  <c r="G18" i="9"/>
  <c r="G20" i="9"/>
  <c r="G53" i="9"/>
  <c r="H18" i="9"/>
  <c r="I18" i="9" s="1"/>
  <c r="J18" i="9" s="1"/>
  <c r="G55" i="9"/>
  <c r="H20" i="9"/>
  <c r="G28" i="9"/>
  <c r="G58" i="9"/>
  <c r="D105" i="9"/>
  <c r="D103" i="9"/>
  <c r="E103" i="9" s="1"/>
  <c r="F103" i="9" s="1"/>
  <c r="H103" i="9"/>
  <c r="I103" i="9" s="1"/>
  <c r="J103" i="9" s="1"/>
  <c r="H53" i="9"/>
  <c r="I53" i="9" s="1"/>
  <c r="J53" i="9" s="1"/>
  <c r="G30" i="9"/>
  <c r="G60" i="9"/>
  <c r="H55" i="9"/>
  <c r="I55" i="9" s="1"/>
  <c r="J55" i="9" s="1"/>
  <c r="G33" i="9"/>
  <c r="G63" i="9"/>
  <c r="H28" i="9"/>
  <c r="H58" i="9"/>
  <c r="G35" i="9"/>
  <c r="G65" i="9"/>
  <c r="H60" i="9"/>
  <c r="G8" i="9"/>
  <c r="G68" i="9"/>
  <c r="H33" i="9"/>
  <c r="H63" i="9"/>
  <c r="H65" i="9"/>
  <c r="I65" i="9" s="1"/>
  <c r="J65" i="9" s="1"/>
  <c r="G103" i="9"/>
  <c r="H10" i="9"/>
  <c r="AH73" i="9"/>
  <c r="AI73" i="9" s="1"/>
  <c r="AJ73" i="9" s="1"/>
  <c r="AH38" i="9"/>
  <c r="AI38" i="9" s="1"/>
  <c r="AJ38" i="9" s="1"/>
  <c r="AH28" i="9"/>
  <c r="AI28" i="9" s="1"/>
  <c r="AJ28" i="9" s="1"/>
  <c r="AH13" i="9"/>
  <c r="AI13" i="9" s="1"/>
  <c r="AJ13" i="9" s="1"/>
  <c r="N75" i="9"/>
  <c r="O75" i="9" s="1"/>
  <c r="P75" i="9" s="1"/>
  <c r="N65" i="9"/>
  <c r="S65" i="9" s="1"/>
  <c r="T65" i="9" s="1"/>
  <c r="N13" i="9"/>
  <c r="O13" i="9" s="1"/>
  <c r="P13" i="9" s="1"/>
  <c r="N8" i="9"/>
  <c r="D93" i="9"/>
  <c r="D80" i="9"/>
  <c r="E80" i="9" s="1"/>
  <c r="F80" i="9" s="1"/>
  <c r="D68" i="9"/>
  <c r="D70" i="9"/>
  <c r="D63" i="9"/>
  <c r="D43" i="9"/>
  <c r="D40" i="9"/>
  <c r="D35" i="9"/>
  <c r="I35" i="9" s="1"/>
  <c r="J35" i="9" s="1"/>
  <c r="D33" i="9"/>
  <c r="D28" i="9"/>
  <c r="E28" i="9" s="1"/>
  <c r="F28" i="9" s="1"/>
  <c r="D30" i="9"/>
  <c r="I30" i="9" s="1"/>
  <c r="J30" i="9" s="1"/>
  <c r="D8" i="9"/>
  <c r="E8" i="9" s="1"/>
  <c r="F8" i="9" s="1"/>
  <c r="X38" i="9"/>
  <c r="Y38" i="9" s="1"/>
  <c r="Z38" i="9" s="1"/>
  <c r="AI35" i="9"/>
  <c r="AJ35" i="9" s="1"/>
  <c r="AI60" i="9"/>
  <c r="AJ60" i="9" s="1"/>
  <c r="AI45" i="9"/>
  <c r="AJ45" i="9" s="1"/>
  <c r="AM50" i="9"/>
  <c r="AN50" i="9" s="1"/>
  <c r="AI55" i="9"/>
  <c r="AJ55" i="9" s="1"/>
  <c r="AH58" i="9"/>
  <c r="AH8" i="9"/>
  <c r="AH25" i="9"/>
  <c r="AH68" i="9"/>
  <c r="AH85" i="9"/>
  <c r="AH43" i="9"/>
  <c r="AH18" i="9"/>
  <c r="AH78" i="9"/>
  <c r="AI30" i="9"/>
  <c r="AJ30" i="9" s="1"/>
  <c r="AH48" i="9"/>
  <c r="AH33" i="9"/>
  <c r="AH53" i="9"/>
  <c r="Y43" i="9"/>
  <c r="Z43" i="9" s="1"/>
  <c r="AC60" i="9"/>
  <c r="AD60" i="9" s="1"/>
  <c r="Y60" i="9"/>
  <c r="Z60" i="9" s="1"/>
  <c r="Y8" i="9"/>
  <c r="Z8" i="9" s="1"/>
  <c r="X48" i="9"/>
  <c r="X15" i="9"/>
  <c r="X33" i="9"/>
  <c r="X25" i="9"/>
  <c r="X10" i="9"/>
  <c r="X45" i="9"/>
  <c r="X73" i="9"/>
  <c r="Y40" i="9"/>
  <c r="Z40" i="9" s="1"/>
  <c r="X58" i="9"/>
  <c r="X68" i="9"/>
  <c r="X18" i="9"/>
  <c r="X78" i="9"/>
  <c r="O38" i="9"/>
  <c r="P38" i="9" s="1"/>
  <c r="O78" i="9"/>
  <c r="P78" i="9" s="1"/>
  <c r="O45" i="9"/>
  <c r="P45" i="9" s="1"/>
  <c r="O10" i="9"/>
  <c r="P10" i="9" s="1"/>
  <c r="O63" i="9"/>
  <c r="P63" i="9" s="1"/>
  <c r="O73" i="9"/>
  <c r="P73" i="9" s="1"/>
  <c r="N23" i="9"/>
  <c r="O85" i="9"/>
  <c r="P85" i="9" s="1"/>
  <c r="N50" i="9"/>
  <c r="S15" i="9"/>
  <c r="T15" i="9" s="1"/>
  <c r="N43" i="9"/>
  <c r="N60" i="9"/>
  <c r="N35" i="9"/>
  <c r="N53" i="9"/>
  <c r="N68" i="9"/>
  <c r="N80" i="9"/>
  <c r="N18" i="9"/>
  <c r="D73" i="9"/>
  <c r="D48" i="9"/>
  <c r="D20" i="9"/>
  <c r="E65" i="9"/>
  <c r="F65" i="9" s="1"/>
  <c r="E60" i="9"/>
  <c r="F60" i="9" s="1"/>
  <c r="E55" i="9"/>
  <c r="F55" i="9" s="1"/>
  <c r="E18" i="9"/>
  <c r="F18" i="9" s="1"/>
  <c r="D10" i="9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32" i="8"/>
  <c r="O118" i="4"/>
  <c r="N118" i="4"/>
  <c r="O110" i="4"/>
  <c r="N110" i="4"/>
  <c r="O102" i="4"/>
  <c r="N102" i="4"/>
  <c r="O93" i="4"/>
  <c r="N93" i="4"/>
  <c r="O85" i="4"/>
  <c r="N85" i="4"/>
  <c r="O77" i="4"/>
  <c r="N77" i="4"/>
  <c r="O68" i="4"/>
  <c r="N68" i="4"/>
  <c r="O60" i="4"/>
  <c r="N60" i="4"/>
  <c r="O52" i="4"/>
  <c r="N52" i="4"/>
  <c r="O44" i="4"/>
  <c r="N44" i="4"/>
  <c r="O36" i="4"/>
  <c r="N36" i="4"/>
  <c r="O28" i="4"/>
  <c r="N28" i="4"/>
  <c r="O20" i="4"/>
  <c r="N20" i="4"/>
  <c r="O12" i="4"/>
  <c r="N12" i="4"/>
  <c r="N116" i="2"/>
  <c r="O116" i="2"/>
  <c r="O108" i="2"/>
  <c r="N108" i="2"/>
  <c r="O100" i="2"/>
  <c r="N100" i="2"/>
  <c r="O92" i="2"/>
  <c r="N92" i="2"/>
  <c r="O84" i="2"/>
  <c r="N84" i="2"/>
  <c r="O76" i="2"/>
  <c r="N76" i="2"/>
  <c r="O68" i="2"/>
  <c r="N68" i="2"/>
  <c r="O60" i="2"/>
  <c r="N60" i="2"/>
  <c r="O52" i="2"/>
  <c r="N52" i="2"/>
  <c r="O44" i="2"/>
  <c r="N44" i="2"/>
  <c r="O36" i="2"/>
  <c r="N36" i="2"/>
  <c r="O28" i="2"/>
  <c r="N28" i="2"/>
  <c r="O20" i="2"/>
  <c r="N20" i="2"/>
  <c r="O12" i="2"/>
  <c r="N12" i="2"/>
  <c r="J130" i="5"/>
  <c r="S129" i="5"/>
  <c r="P129" i="5"/>
  <c r="J129" i="5"/>
  <c r="J122" i="5"/>
  <c r="S121" i="5"/>
  <c r="P121" i="5"/>
  <c r="J121" i="5"/>
  <c r="J114" i="5"/>
  <c r="S113" i="5"/>
  <c r="P113" i="5"/>
  <c r="J113" i="5"/>
  <c r="J106" i="5"/>
  <c r="S105" i="5"/>
  <c r="P105" i="5"/>
  <c r="J105" i="5"/>
  <c r="J98" i="5"/>
  <c r="S97" i="5"/>
  <c r="P97" i="5"/>
  <c r="J97" i="5"/>
  <c r="J90" i="5"/>
  <c r="S89" i="5"/>
  <c r="P89" i="5"/>
  <c r="J89" i="5"/>
  <c r="J82" i="5"/>
  <c r="S81" i="5"/>
  <c r="P81" i="5"/>
  <c r="J81" i="5"/>
  <c r="J74" i="5"/>
  <c r="S73" i="5"/>
  <c r="P73" i="5"/>
  <c r="J73" i="5"/>
  <c r="J66" i="5"/>
  <c r="S65" i="5"/>
  <c r="P65" i="5"/>
  <c r="J65" i="5"/>
  <c r="J57" i="5"/>
  <c r="S56" i="5"/>
  <c r="J49" i="5"/>
  <c r="S48" i="5"/>
  <c r="P48" i="5"/>
  <c r="J48" i="5"/>
  <c r="J41" i="5"/>
  <c r="S40" i="5"/>
  <c r="P40" i="5"/>
  <c r="J40" i="5"/>
  <c r="J33" i="5"/>
  <c r="S32" i="5"/>
  <c r="P32" i="5"/>
  <c r="J32" i="5"/>
  <c r="J25" i="5"/>
  <c r="S24" i="5"/>
  <c r="P24" i="5"/>
  <c r="J24" i="5"/>
  <c r="J17" i="5"/>
  <c r="S16" i="5"/>
  <c r="P16" i="5"/>
  <c r="J16" i="5"/>
  <c r="J8" i="5"/>
  <c r="S7" i="5"/>
  <c r="J122" i="4"/>
  <c r="S121" i="4"/>
  <c r="P121" i="4"/>
  <c r="J121" i="4"/>
  <c r="J114" i="4"/>
  <c r="S113" i="4"/>
  <c r="P113" i="4"/>
  <c r="J113" i="4"/>
  <c r="J106" i="4"/>
  <c r="S105" i="4"/>
  <c r="P105" i="4"/>
  <c r="J105" i="4"/>
  <c r="J97" i="4"/>
  <c r="S96" i="4"/>
  <c r="J89" i="4"/>
  <c r="S88" i="4"/>
  <c r="P88" i="4"/>
  <c r="J88" i="4"/>
  <c r="J81" i="4"/>
  <c r="S80" i="4"/>
  <c r="P80" i="4"/>
  <c r="J80" i="4"/>
  <c r="J72" i="4"/>
  <c r="S71" i="4"/>
  <c r="J64" i="4"/>
  <c r="S63" i="4"/>
  <c r="P63" i="4"/>
  <c r="J63" i="4"/>
  <c r="J56" i="4"/>
  <c r="S55" i="4"/>
  <c r="P55" i="4"/>
  <c r="J55" i="4"/>
  <c r="J48" i="4"/>
  <c r="S47" i="4"/>
  <c r="P47" i="4"/>
  <c r="J47" i="4"/>
  <c r="J40" i="4"/>
  <c r="S39" i="4"/>
  <c r="P39" i="4"/>
  <c r="J39" i="4"/>
  <c r="J32" i="4"/>
  <c r="S31" i="4"/>
  <c r="P31" i="4"/>
  <c r="J31" i="4"/>
  <c r="J24" i="4"/>
  <c r="S23" i="4"/>
  <c r="P23" i="4"/>
  <c r="J23" i="4"/>
  <c r="J16" i="4"/>
  <c r="S15" i="4"/>
  <c r="P15" i="4"/>
  <c r="J15" i="4"/>
  <c r="J8" i="4"/>
  <c r="S7" i="4"/>
  <c r="P7" i="4"/>
  <c r="J7" i="4"/>
  <c r="J120" i="2"/>
  <c r="S119" i="2"/>
  <c r="P119" i="2"/>
  <c r="J119" i="2"/>
  <c r="J112" i="2"/>
  <c r="S111" i="2"/>
  <c r="J104" i="2"/>
  <c r="S103" i="2"/>
  <c r="P103" i="2"/>
  <c r="J103" i="2"/>
  <c r="J96" i="2"/>
  <c r="S95" i="2"/>
  <c r="P95" i="2"/>
  <c r="J95" i="2"/>
  <c r="J88" i="2"/>
  <c r="S87" i="2"/>
  <c r="P87" i="2"/>
  <c r="J87" i="2"/>
  <c r="J80" i="2"/>
  <c r="S79" i="2"/>
  <c r="P79" i="2"/>
  <c r="J79" i="2"/>
  <c r="J72" i="2"/>
  <c r="S71" i="2"/>
  <c r="P71" i="2"/>
  <c r="J71" i="2"/>
  <c r="J64" i="2"/>
  <c r="S63" i="2"/>
  <c r="P63" i="2"/>
  <c r="J63" i="2"/>
  <c r="J56" i="2"/>
  <c r="S55" i="2"/>
  <c r="P55" i="2"/>
  <c r="J55" i="2"/>
  <c r="J48" i="2"/>
  <c r="S47" i="2"/>
  <c r="P47" i="2"/>
  <c r="J47" i="2"/>
  <c r="J40" i="2"/>
  <c r="S39" i="2"/>
  <c r="P39" i="2"/>
  <c r="J39" i="2"/>
  <c r="J32" i="2"/>
  <c r="S31" i="2"/>
  <c r="P31" i="2"/>
  <c r="J31" i="2"/>
  <c r="J24" i="2"/>
  <c r="S23" i="2"/>
  <c r="J16" i="2"/>
  <c r="S15" i="2"/>
  <c r="P15" i="2"/>
  <c r="J15" i="2"/>
  <c r="J8" i="2"/>
  <c r="S7" i="2"/>
  <c r="P7" i="2"/>
  <c r="J7" i="2"/>
  <c r="J146" i="1"/>
  <c r="S145" i="1"/>
  <c r="P145" i="1"/>
  <c r="J145" i="1"/>
  <c r="J138" i="1"/>
  <c r="S137" i="1"/>
  <c r="P137" i="1"/>
  <c r="J137" i="1"/>
  <c r="J130" i="1"/>
  <c r="S129" i="1"/>
  <c r="P129" i="1"/>
  <c r="J129" i="1"/>
  <c r="J122" i="1"/>
  <c r="S121" i="1"/>
  <c r="P121" i="1"/>
  <c r="J121" i="1"/>
  <c r="J114" i="1"/>
  <c r="S113" i="1"/>
  <c r="P113" i="1"/>
  <c r="J113" i="1"/>
  <c r="J106" i="1"/>
  <c r="S105" i="1"/>
  <c r="P105" i="1"/>
  <c r="J105" i="1"/>
  <c r="J98" i="1"/>
  <c r="S97" i="1"/>
  <c r="P97" i="1"/>
  <c r="J97" i="1"/>
  <c r="J90" i="1"/>
  <c r="S89" i="1"/>
  <c r="P89" i="1"/>
  <c r="J89" i="1"/>
  <c r="J82" i="1"/>
  <c r="S81" i="1"/>
  <c r="P81" i="1"/>
  <c r="J81" i="1"/>
  <c r="J74" i="1"/>
  <c r="S73" i="1"/>
  <c r="P73" i="1"/>
  <c r="J73" i="1"/>
  <c r="J65" i="1"/>
  <c r="S64" i="1"/>
  <c r="J57" i="1"/>
  <c r="S56" i="1"/>
  <c r="P56" i="1"/>
  <c r="J56" i="1"/>
  <c r="J49" i="1"/>
  <c r="S48" i="1"/>
  <c r="P48" i="1"/>
  <c r="J48" i="1"/>
  <c r="J41" i="1"/>
  <c r="S40" i="1"/>
  <c r="P40" i="1"/>
  <c r="J40" i="1"/>
  <c r="J33" i="1"/>
  <c r="S32" i="1"/>
  <c r="P32" i="1"/>
  <c r="J32" i="1"/>
  <c r="J24" i="1"/>
  <c r="S23" i="1"/>
  <c r="J16" i="1"/>
  <c r="S15" i="1"/>
  <c r="P15" i="1"/>
  <c r="J15" i="1"/>
  <c r="S7" i="1"/>
  <c r="P7" i="1"/>
  <c r="AM88" i="9" l="1"/>
  <c r="AN88" i="9" s="1"/>
  <c r="S38" i="9"/>
  <c r="T38" i="9" s="1"/>
  <c r="S58" i="9"/>
  <c r="T58" i="9" s="1"/>
  <c r="S33" i="9"/>
  <c r="T33" i="9" s="1"/>
  <c r="S28" i="9"/>
  <c r="T28" i="9" s="1"/>
  <c r="I48" i="9"/>
  <c r="J48" i="9" s="1"/>
  <c r="I70" i="9"/>
  <c r="J70" i="9" s="1"/>
  <c r="I68" i="9"/>
  <c r="J68" i="9" s="1"/>
  <c r="I83" i="9"/>
  <c r="J83" i="9" s="1"/>
  <c r="AC70" i="9"/>
  <c r="AD70" i="9" s="1"/>
  <c r="AC13" i="9"/>
  <c r="AD13" i="9" s="1"/>
  <c r="AC75" i="9"/>
  <c r="AD75" i="9" s="1"/>
  <c r="AC28" i="9"/>
  <c r="AD28" i="9" s="1"/>
  <c r="AC80" i="9"/>
  <c r="AD80" i="9" s="1"/>
  <c r="S83" i="9"/>
  <c r="T83" i="9" s="1"/>
  <c r="S30" i="9"/>
  <c r="T30" i="9" s="1"/>
  <c r="S70" i="9"/>
  <c r="T70" i="9" s="1"/>
  <c r="AM75" i="9"/>
  <c r="AN75" i="9" s="1"/>
  <c r="AM70" i="9"/>
  <c r="AN70" i="9" s="1"/>
  <c r="AM38" i="9"/>
  <c r="AN38" i="9" s="1"/>
  <c r="AM90" i="9"/>
  <c r="AN90" i="9" s="1"/>
  <c r="AM63" i="9"/>
  <c r="AN63" i="9" s="1"/>
  <c r="AM10" i="9"/>
  <c r="AN10" i="9" s="1"/>
  <c r="AM65" i="9"/>
  <c r="AN65" i="9" s="1"/>
  <c r="AM95" i="9"/>
  <c r="AN95" i="9" s="1"/>
  <c r="AM13" i="9"/>
  <c r="AN13" i="9" s="1"/>
  <c r="AM20" i="9"/>
  <c r="AN20" i="9" s="1"/>
  <c r="AM80" i="9"/>
  <c r="AN80" i="9" s="1"/>
  <c r="AM40" i="9"/>
  <c r="AN40" i="9" s="1"/>
  <c r="AM23" i="9"/>
  <c r="AN23" i="9" s="1"/>
  <c r="AM83" i="9"/>
  <c r="AN83" i="9" s="1"/>
  <c r="AM73" i="9"/>
  <c r="AN73" i="9" s="1"/>
  <c r="AI40" i="9"/>
  <c r="AJ40" i="9" s="1"/>
  <c r="AI20" i="9"/>
  <c r="AJ20" i="9" s="1"/>
  <c r="AI90" i="9"/>
  <c r="AJ90" i="9" s="1"/>
  <c r="AM15" i="9"/>
  <c r="AN15" i="9" s="1"/>
  <c r="AI88" i="9"/>
  <c r="AJ88" i="9" s="1"/>
  <c r="AM28" i="9"/>
  <c r="AN28" i="9" s="1"/>
  <c r="AI23" i="9"/>
  <c r="AJ23" i="9" s="1"/>
  <c r="AC90" i="9"/>
  <c r="AD90" i="9" s="1"/>
  <c r="Y13" i="9"/>
  <c r="Z13" i="9" s="1"/>
  <c r="AC63" i="9"/>
  <c r="AD63" i="9" s="1"/>
  <c r="Y70" i="9"/>
  <c r="Z70" i="9" s="1"/>
  <c r="AC65" i="9"/>
  <c r="AD65" i="9" s="1"/>
  <c r="AC53" i="9"/>
  <c r="AD53" i="9" s="1"/>
  <c r="Y80" i="9"/>
  <c r="Z80" i="9" s="1"/>
  <c r="AC23" i="9"/>
  <c r="AD23" i="9" s="1"/>
  <c r="AC50" i="9"/>
  <c r="AD50" i="9" s="1"/>
  <c r="Y53" i="9"/>
  <c r="Z53" i="9" s="1"/>
  <c r="AC20" i="9"/>
  <c r="AD20" i="9" s="1"/>
  <c r="AC35" i="9"/>
  <c r="AD35" i="9" s="1"/>
  <c r="AC30" i="9"/>
  <c r="AD30" i="9" s="1"/>
  <c r="AC85" i="9"/>
  <c r="AD85" i="9" s="1"/>
  <c r="AC83" i="9"/>
  <c r="AD83" i="9" s="1"/>
  <c r="S20" i="9"/>
  <c r="T20" i="9" s="1"/>
  <c r="O33" i="9"/>
  <c r="P33" i="9" s="1"/>
  <c r="S25" i="9"/>
  <c r="T25" i="9" s="1"/>
  <c r="O25" i="9"/>
  <c r="P25" i="9" s="1"/>
  <c r="O58" i="9"/>
  <c r="P58" i="9" s="1"/>
  <c r="S48" i="9"/>
  <c r="T48" i="9" s="1"/>
  <c r="S88" i="9"/>
  <c r="T88" i="9" s="1"/>
  <c r="O28" i="9"/>
  <c r="P28" i="9" s="1"/>
  <c r="S55" i="9"/>
  <c r="T55" i="9" s="1"/>
  <c r="O65" i="9"/>
  <c r="P65" i="9" s="1"/>
  <c r="O88" i="9"/>
  <c r="P88" i="9" s="1"/>
  <c r="S13" i="9"/>
  <c r="T13" i="9" s="1"/>
  <c r="S85" i="9"/>
  <c r="T85" i="9" s="1"/>
  <c r="I60" i="9"/>
  <c r="J60" i="9" s="1"/>
  <c r="E30" i="9"/>
  <c r="F30" i="9" s="1"/>
  <c r="I23" i="9"/>
  <c r="J23" i="9" s="1"/>
  <c r="I58" i="9"/>
  <c r="J58" i="9" s="1"/>
  <c r="I50" i="9"/>
  <c r="J50" i="9" s="1"/>
  <c r="I98" i="9"/>
  <c r="J98" i="9" s="1"/>
  <c r="I38" i="9"/>
  <c r="J38" i="9" s="1"/>
  <c r="I40" i="9"/>
  <c r="J40" i="9" s="1"/>
  <c r="E70" i="9"/>
  <c r="F70" i="9" s="1"/>
  <c r="E68" i="9"/>
  <c r="F68" i="9" s="1"/>
  <c r="I85" i="9"/>
  <c r="J85" i="9" s="1"/>
  <c r="E35" i="9"/>
  <c r="F35" i="9" s="1"/>
  <c r="E40" i="9"/>
  <c r="F40" i="9" s="1"/>
  <c r="I8" i="9"/>
  <c r="J8" i="9" s="1"/>
  <c r="I95" i="9"/>
  <c r="J95" i="9" s="1"/>
  <c r="I45" i="9"/>
  <c r="J45" i="9" s="1"/>
  <c r="E98" i="9"/>
  <c r="F98" i="9" s="1"/>
  <c r="I43" i="9"/>
  <c r="J43" i="9" s="1"/>
  <c r="I15" i="9"/>
  <c r="J15" i="9" s="1"/>
  <c r="I75" i="9"/>
  <c r="J75" i="9" s="1"/>
  <c r="I33" i="9"/>
  <c r="J33" i="9" s="1"/>
  <c r="E33" i="9"/>
  <c r="F33" i="9" s="1"/>
  <c r="I73" i="9"/>
  <c r="J73" i="9" s="1"/>
  <c r="I63" i="9"/>
  <c r="J63" i="9" s="1"/>
  <c r="I78" i="9"/>
  <c r="J78" i="9" s="1"/>
  <c r="E15" i="9"/>
  <c r="F15" i="9" s="1"/>
  <c r="I93" i="9"/>
  <c r="J93" i="9" s="1"/>
  <c r="E95" i="9"/>
  <c r="F95" i="9" s="1"/>
  <c r="E38" i="9"/>
  <c r="F38" i="9" s="1"/>
  <c r="E43" i="9"/>
  <c r="F43" i="9" s="1"/>
  <c r="I13" i="9"/>
  <c r="J13" i="9" s="1"/>
  <c r="E85" i="9"/>
  <c r="F85" i="9" s="1"/>
  <c r="I80" i="9"/>
  <c r="J80" i="9" s="1"/>
  <c r="E93" i="9"/>
  <c r="F93" i="9" s="1"/>
  <c r="E63" i="9"/>
  <c r="F63" i="9" s="1"/>
  <c r="I20" i="9"/>
  <c r="J20" i="9" s="1"/>
  <c r="I28" i="9"/>
  <c r="J28" i="9" s="1"/>
  <c r="I90" i="9"/>
  <c r="J90" i="9" s="1"/>
  <c r="I25" i="9"/>
  <c r="J25" i="9" s="1"/>
  <c r="I10" i="9"/>
  <c r="J10" i="9" s="1"/>
  <c r="AC38" i="9"/>
  <c r="AD38" i="9" s="1"/>
  <c r="S75" i="9"/>
  <c r="T75" i="9" s="1"/>
  <c r="E73" i="9"/>
  <c r="F73" i="9" s="1"/>
  <c r="E48" i="9"/>
  <c r="F48" i="9" s="1"/>
  <c r="E20" i="9"/>
  <c r="F20" i="9" s="1"/>
  <c r="AM43" i="9"/>
  <c r="AN43" i="9" s="1"/>
  <c r="AI43" i="9"/>
  <c r="AJ43" i="9" s="1"/>
  <c r="AI68" i="9"/>
  <c r="AJ68" i="9" s="1"/>
  <c r="AM68" i="9"/>
  <c r="AN68" i="9" s="1"/>
  <c r="AM85" i="9"/>
  <c r="AN85" i="9" s="1"/>
  <c r="AI85" i="9"/>
  <c r="AJ85" i="9" s="1"/>
  <c r="AM53" i="9"/>
  <c r="AN53" i="9" s="1"/>
  <c r="AI53" i="9"/>
  <c r="AJ53" i="9" s="1"/>
  <c r="AM25" i="9"/>
  <c r="AN25" i="9" s="1"/>
  <c r="AI25" i="9"/>
  <c r="AJ25" i="9" s="1"/>
  <c r="AM33" i="9"/>
  <c r="AN33" i="9" s="1"/>
  <c r="AI33" i="9"/>
  <c r="AJ33" i="9" s="1"/>
  <c r="AM8" i="9"/>
  <c r="AN8" i="9" s="1"/>
  <c r="AI8" i="9"/>
  <c r="AJ8" i="9" s="1"/>
  <c r="AI48" i="9"/>
  <c r="AJ48" i="9" s="1"/>
  <c r="AM48" i="9"/>
  <c r="AN48" i="9" s="1"/>
  <c r="AM58" i="9"/>
  <c r="AN58" i="9" s="1"/>
  <c r="AI58" i="9"/>
  <c r="AJ58" i="9" s="1"/>
  <c r="AM78" i="9"/>
  <c r="AN78" i="9" s="1"/>
  <c r="AI78" i="9"/>
  <c r="AJ78" i="9" s="1"/>
  <c r="AI18" i="9"/>
  <c r="AJ18" i="9" s="1"/>
  <c r="AM18" i="9"/>
  <c r="AN18" i="9" s="1"/>
  <c r="AM93" i="9"/>
  <c r="AN93" i="9" s="1"/>
  <c r="AI93" i="9"/>
  <c r="AJ93" i="9" s="1"/>
  <c r="AC78" i="9"/>
  <c r="AD78" i="9" s="1"/>
  <c r="Y78" i="9"/>
  <c r="Z78" i="9" s="1"/>
  <c r="Y33" i="9"/>
  <c r="Z33" i="9" s="1"/>
  <c r="AC33" i="9"/>
  <c r="AD33" i="9" s="1"/>
  <c r="AC15" i="9"/>
  <c r="AD15" i="9" s="1"/>
  <c r="Y15" i="9"/>
  <c r="Z15" i="9" s="1"/>
  <c r="Y48" i="9"/>
  <c r="Z48" i="9" s="1"/>
  <c r="AC48" i="9"/>
  <c r="AD48" i="9" s="1"/>
  <c r="AC88" i="9"/>
  <c r="AD88" i="9" s="1"/>
  <c r="Y88" i="9"/>
  <c r="Z88" i="9" s="1"/>
  <c r="Y25" i="9"/>
  <c r="Z25" i="9" s="1"/>
  <c r="AC25" i="9"/>
  <c r="AD25" i="9" s="1"/>
  <c r="Y18" i="9"/>
  <c r="Z18" i="9" s="1"/>
  <c r="AC18" i="9"/>
  <c r="AD18" i="9" s="1"/>
  <c r="AC68" i="9"/>
  <c r="AD68" i="9" s="1"/>
  <c r="Y68" i="9"/>
  <c r="Z68" i="9" s="1"/>
  <c r="AC73" i="9"/>
  <c r="AD73" i="9" s="1"/>
  <c r="Y73" i="9"/>
  <c r="Z73" i="9" s="1"/>
  <c r="AC10" i="9"/>
  <c r="AD10" i="9" s="1"/>
  <c r="Y10" i="9"/>
  <c r="Z10" i="9" s="1"/>
  <c r="Y58" i="9"/>
  <c r="Z58" i="9" s="1"/>
  <c r="AC58" i="9"/>
  <c r="AD58" i="9" s="1"/>
  <c r="Y45" i="9"/>
  <c r="Z45" i="9" s="1"/>
  <c r="AC45" i="9"/>
  <c r="AD45" i="9" s="1"/>
  <c r="O35" i="9"/>
  <c r="P35" i="9" s="1"/>
  <c r="S35" i="9"/>
  <c r="T35" i="9" s="1"/>
  <c r="S18" i="9"/>
  <c r="T18" i="9" s="1"/>
  <c r="O18" i="9"/>
  <c r="P18" i="9" s="1"/>
  <c r="S60" i="9"/>
  <c r="T60" i="9" s="1"/>
  <c r="O60" i="9"/>
  <c r="P60" i="9" s="1"/>
  <c r="S43" i="9"/>
  <c r="T43" i="9" s="1"/>
  <c r="O43" i="9"/>
  <c r="P43" i="9" s="1"/>
  <c r="O80" i="9"/>
  <c r="P80" i="9" s="1"/>
  <c r="S80" i="9"/>
  <c r="T80" i="9" s="1"/>
  <c r="S68" i="9"/>
  <c r="T68" i="9" s="1"/>
  <c r="O68" i="9"/>
  <c r="P68" i="9" s="1"/>
  <c r="O8" i="9"/>
  <c r="P8" i="9" s="1"/>
  <c r="S8" i="9"/>
  <c r="T8" i="9" s="1"/>
  <c r="S50" i="9"/>
  <c r="T50" i="9" s="1"/>
  <c r="O50" i="9"/>
  <c r="P50" i="9" s="1"/>
  <c r="O23" i="9"/>
  <c r="P23" i="9" s="1"/>
  <c r="S23" i="9"/>
  <c r="T23" i="9" s="1"/>
  <c r="S90" i="9"/>
  <c r="T90" i="9" s="1"/>
  <c r="O90" i="9"/>
  <c r="P90" i="9" s="1"/>
  <c r="S53" i="9"/>
  <c r="T53" i="9" s="1"/>
  <c r="O53" i="9"/>
  <c r="P53" i="9" s="1"/>
  <c r="I105" i="9"/>
  <c r="J105" i="9" s="1"/>
  <c r="E105" i="9"/>
  <c r="F105" i="9" s="1"/>
  <c r="I100" i="9"/>
  <c r="J100" i="9" s="1"/>
  <c r="E100" i="9"/>
  <c r="F100" i="9" s="1"/>
  <c r="E10" i="9"/>
  <c r="F10" i="9" s="1"/>
  <c r="I129" i="5"/>
  <c r="I121" i="5"/>
  <c r="I113" i="5"/>
  <c r="I105" i="5"/>
  <c r="I97" i="5"/>
  <c r="I89" i="5"/>
  <c r="I81" i="5"/>
  <c r="I73" i="5"/>
  <c r="I65" i="5"/>
  <c r="I56" i="5"/>
  <c r="I48" i="5"/>
  <c r="I40" i="5"/>
  <c r="I32" i="5"/>
  <c r="I24" i="5"/>
  <c r="I16" i="5"/>
  <c r="I7" i="5"/>
  <c r="I121" i="4"/>
  <c r="I113" i="4"/>
  <c r="I105" i="4"/>
  <c r="I96" i="4"/>
  <c r="I88" i="4"/>
  <c r="I80" i="4"/>
  <c r="I71" i="4"/>
  <c r="I63" i="4"/>
  <c r="I55" i="4"/>
  <c r="I47" i="4"/>
  <c r="I39" i="4"/>
  <c r="I31" i="4"/>
  <c r="I23" i="4"/>
  <c r="I15" i="4"/>
  <c r="I7" i="4"/>
  <c r="I119" i="2"/>
  <c r="I111" i="2"/>
  <c r="I103" i="2"/>
  <c r="I95" i="2"/>
  <c r="I87" i="2"/>
  <c r="I79" i="2"/>
  <c r="I71" i="2"/>
  <c r="I63" i="2"/>
  <c r="I55" i="2"/>
  <c r="I47" i="2"/>
  <c r="I39" i="2"/>
  <c r="I31" i="2"/>
  <c r="I23" i="2"/>
  <c r="I15" i="2"/>
  <c r="I7" i="2"/>
  <c r="I145" i="1"/>
  <c r="I137" i="1"/>
  <c r="I129" i="1"/>
  <c r="I121" i="1"/>
  <c r="I113" i="1"/>
  <c r="I105" i="1"/>
  <c r="I97" i="1"/>
  <c r="I89" i="1"/>
  <c r="I81" i="1"/>
  <c r="I73" i="1"/>
  <c r="I64" i="1"/>
  <c r="I56" i="1"/>
  <c r="I48" i="1"/>
  <c r="I40" i="1"/>
  <c r="I32" i="1"/>
  <c r="I23" i="1"/>
  <c r="I15" i="1"/>
  <c r="O126" i="5"/>
  <c r="N126" i="5"/>
  <c r="O118" i="5"/>
  <c r="N118" i="5"/>
  <c r="O110" i="5"/>
  <c r="N110" i="5"/>
  <c r="O102" i="5"/>
  <c r="N102" i="5"/>
  <c r="O94" i="5"/>
  <c r="N94" i="5"/>
  <c r="O86" i="5"/>
  <c r="N86" i="5"/>
  <c r="O78" i="5"/>
  <c r="N78" i="5"/>
  <c r="O70" i="5"/>
  <c r="N70" i="5"/>
  <c r="O62" i="5"/>
  <c r="N62" i="5"/>
  <c r="O53" i="5"/>
  <c r="N53" i="5"/>
  <c r="O45" i="5"/>
  <c r="N45" i="5"/>
  <c r="O37" i="5"/>
  <c r="N37" i="5"/>
  <c r="O29" i="5"/>
  <c r="N29" i="5"/>
  <c r="O21" i="5"/>
  <c r="N21" i="5"/>
  <c r="O13" i="5"/>
  <c r="N13" i="5"/>
  <c r="O4" i="5"/>
  <c r="N4" i="5"/>
  <c r="O4" i="4"/>
  <c r="N4" i="4"/>
  <c r="O4" i="2"/>
  <c r="N4" i="2"/>
  <c r="O142" i="1"/>
  <c r="O134" i="1"/>
  <c r="O126" i="1"/>
  <c r="O118" i="1"/>
  <c r="O110" i="1"/>
  <c r="O102" i="1"/>
  <c r="O94" i="1"/>
  <c r="O86" i="1"/>
  <c r="O78" i="1"/>
  <c r="O70" i="1"/>
  <c r="O61" i="1"/>
  <c r="O53" i="1"/>
  <c r="O45" i="1"/>
  <c r="O37" i="1"/>
  <c r="O29" i="1"/>
  <c r="O20" i="1"/>
  <c r="O12" i="1"/>
  <c r="O4" i="1"/>
  <c r="F128" i="5"/>
  <c r="L126" i="5" s="1"/>
  <c r="F120" i="5"/>
  <c r="L118" i="5" s="1"/>
  <c r="F112" i="5"/>
  <c r="L110" i="5" s="1"/>
  <c r="F104" i="5"/>
  <c r="L102" i="5" s="1"/>
  <c r="F96" i="5"/>
  <c r="L94" i="5" s="1"/>
  <c r="F88" i="5"/>
  <c r="L86" i="5" s="1"/>
  <c r="F80" i="5"/>
  <c r="L78" i="5" s="1"/>
  <c r="F72" i="5"/>
  <c r="L70" i="5" s="1"/>
  <c r="F64" i="5"/>
  <c r="L62" i="5" s="1"/>
  <c r="F56" i="5"/>
  <c r="J56" i="5" s="1"/>
  <c r="P56" i="5" s="1"/>
  <c r="H10" i="7" s="1"/>
  <c r="F55" i="5"/>
  <c r="L53" i="5" s="1"/>
  <c r="F47" i="5"/>
  <c r="L45" i="5" s="1"/>
  <c r="F39" i="5"/>
  <c r="L37" i="5" s="1"/>
  <c r="F31" i="5"/>
  <c r="L29" i="5" s="1"/>
  <c r="F23" i="5"/>
  <c r="L21" i="5" s="1"/>
  <c r="F15" i="5"/>
  <c r="L13" i="5" s="1"/>
  <c r="F7" i="5"/>
  <c r="J7" i="5" s="1"/>
  <c r="P7" i="5" s="1"/>
  <c r="H9" i="7" s="1"/>
  <c r="F6" i="5"/>
  <c r="L4" i="5" s="1"/>
  <c r="F127" i="5"/>
  <c r="J126" i="5" s="1"/>
  <c r="F119" i="5"/>
  <c r="J118" i="5" s="1"/>
  <c r="F111" i="5"/>
  <c r="J110" i="5" s="1"/>
  <c r="F103" i="5"/>
  <c r="F95" i="5"/>
  <c r="J94" i="5" s="1"/>
  <c r="F87" i="5"/>
  <c r="J86" i="5" s="1"/>
  <c r="F79" i="5"/>
  <c r="J78" i="5" s="1"/>
  <c r="F71" i="5"/>
  <c r="J70" i="5" s="1"/>
  <c r="F63" i="5"/>
  <c r="J62" i="5" s="1"/>
  <c r="F54" i="5"/>
  <c r="J53" i="5" s="1"/>
  <c r="F46" i="5"/>
  <c r="J45" i="5" s="1"/>
  <c r="F38" i="5"/>
  <c r="J37" i="5" s="1"/>
  <c r="F30" i="5"/>
  <c r="J29" i="5" s="1"/>
  <c r="F22" i="5"/>
  <c r="J21" i="5" s="1"/>
  <c r="F14" i="5"/>
  <c r="J13" i="5" s="1"/>
  <c r="F5" i="5"/>
  <c r="J4" i="5" s="1"/>
  <c r="F120" i="4"/>
  <c r="L118" i="4" s="1"/>
  <c r="F112" i="4"/>
  <c r="L110" i="4" s="1"/>
  <c r="F104" i="4"/>
  <c r="L102" i="4" s="1"/>
  <c r="F95" i="4"/>
  <c r="L93" i="4" s="1"/>
  <c r="F87" i="4"/>
  <c r="L85" i="4" s="1"/>
  <c r="F79" i="4"/>
  <c r="L77" i="4" s="1"/>
  <c r="F70" i="4"/>
  <c r="L68" i="4" s="1"/>
  <c r="F62" i="4"/>
  <c r="L60" i="4" s="1"/>
  <c r="F54" i="4"/>
  <c r="L52" i="4" s="1"/>
  <c r="F46" i="4"/>
  <c r="L44" i="4" s="1"/>
  <c r="F38" i="4"/>
  <c r="L36" i="4" s="1"/>
  <c r="F30" i="4"/>
  <c r="L28" i="4" s="1"/>
  <c r="F22" i="4"/>
  <c r="L20" i="4" s="1"/>
  <c r="F14" i="4"/>
  <c r="L12" i="4" s="1"/>
  <c r="F6" i="4"/>
  <c r="L4" i="4" s="1"/>
  <c r="F96" i="4"/>
  <c r="J96" i="4" s="1"/>
  <c r="P96" i="4" s="1"/>
  <c r="H8" i="7" s="1"/>
  <c r="F71" i="4"/>
  <c r="J71" i="4" s="1"/>
  <c r="P71" i="4" s="1"/>
  <c r="H7" i="7" s="1"/>
  <c r="F119" i="4"/>
  <c r="J118" i="4" s="1"/>
  <c r="F111" i="4"/>
  <c r="J110" i="4" s="1"/>
  <c r="F103" i="4"/>
  <c r="J102" i="4" s="1"/>
  <c r="F94" i="4"/>
  <c r="J93" i="4" s="1"/>
  <c r="F86" i="4"/>
  <c r="J85" i="4" s="1"/>
  <c r="F78" i="4"/>
  <c r="J77" i="4" s="1"/>
  <c r="F69" i="4"/>
  <c r="J68" i="4" s="1"/>
  <c r="F61" i="4"/>
  <c r="J60" i="4" s="1"/>
  <c r="F53" i="4"/>
  <c r="J52" i="4" s="1"/>
  <c r="F45" i="4"/>
  <c r="J44" i="4" s="1"/>
  <c r="F37" i="4"/>
  <c r="J36" i="4" s="1"/>
  <c r="F29" i="4"/>
  <c r="J28" i="4" s="1"/>
  <c r="F21" i="4"/>
  <c r="J20" i="4" s="1"/>
  <c r="P20" i="4" s="1"/>
  <c r="S20" i="4" s="1"/>
  <c r="F13" i="4"/>
  <c r="J12" i="4" s="1"/>
  <c r="F5" i="4"/>
  <c r="F111" i="2"/>
  <c r="J111" i="2" s="1"/>
  <c r="P111" i="2" s="1"/>
  <c r="H6" i="7" s="1"/>
  <c r="F23" i="2"/>
  <c r="F118" i="2"/>
  <c r="L116" i="2" s="1"/>
  <c r="F110" i="2"/>
  <c r="L108" i="2" s="1"/>
  <c r="F102" i="2"/>
  <c r="L100" i="2" s="1"/>
  <c r="F94" i="2"/>
  <c r="L92" i="2" s="1"/>
  <c r="F86" i="2"/>
  <c r="L84" i="2" s="1"/>
  <c r="F78" i="2"/>
  <c r="L76" i="2" s="1"/>
  <c r="F70" i="2"/>
  <c r="L68" i="2" s="1"/>
  <c r="F62" i="2"/>
  <c r="L60" i="2" s="1"/>
  <c r="F54" i="2"/>
  <c r="L52" i="2" s="1"/>
  <c r="F46" i="2"/>
  <c r="L44" i="2" s="1"/>
  <c r="F38" i="2"/>
  <c r="L36" i="2" s="1"/>
  <c r="F30" i="2"/>
  <c r="L28" i="2" s="1"/>
  <c r="F22" i="2"/>
  <c r="L20" i="2" s="1"/>
  <c r="F14" i="2"/>
  <c r="L12" i="2" s="1"/>
  <c r="F6" i="2"/>
  <c r="L4" i="2" s="1"/>
  <c r="F117" i="2"/>
  <c r="J116" i="2" s="1"/>
  <c r="F109" i="2"/>
  <c r="J108" i="2" s="1"/>
  <c r="F101" i="2"/>
  <c r="J100" i="2" s="1"/>
  <c r="F93" i="2"/>
  <c r="J92" i="2" s="1"/>
  <c r="F85" i="2"/>
  <c r="J84" i="2" s="1"/>
  <c r="F77" i="2"/>
  <c r="J76" i="2" s="1"/>
  <c r="P76" i="2" s="1"/>
  <c r="S76" i="2" s="1"/>
  <c r="F69" i="2"/>
  <c r="J68" i="2" s="1"/>
  <c r="P68" i="2" s="1"/>
  <c r="S68" i="2" s="1"/>
  <c r="F61" i="2"/>
  <c r="J60" i="2" s="1"/>
  <c r="P60" i="2" s="1"/>
  <c r="S60" i="2" s="1"/>
  <c r="F53" i="2"/>
  <c r="J52" i="2" s="1"/>
  <c r="F45" i="2"/>
  <c r="J44" i="2" s="1"/>
  <c r="F37" i="2"/>
  <c r="J36" i="2" s="1"/>
  <c r="F29" i="2"/>
  <c r="J28" i="2" s="1"/>
  <c r="F21" i="2"/>
  <c r="J20" i="2" s="1"/>
  <c r="F13" i="2"/>
  <c r="J12" i="2" s="1"/>
  <c r="F5" i="2"/>
  <c r="F144" i="1"/>
  <c r="L142" i="1" s="1"/>
  <c r="F145" i="1"/>
  <c r="N142" i="1" s="1"/>
  <c r="F143" i="1"/>
  <c r="J142" i="1" s="1"/>
  <c r="F136" i="1"/>
  <c r="L134" i="1" s="1"/>
  <c r="F137" i="1"/>
  <c r="N134" i="1" s="1"/>
  <c r="F135" i="1"/>
  <c r="J134" i="1" s="1"/>
  <c r="F128" i="1"/>
  <c r="L126" i="1" s="1"/>
  <c r="F129" i="1"/>
  <c r="N126" i="1" s="1"/>
  <c r="F127" i="1"/>
  <c r="J126" i="1" s="1"/>
  <c r="F120" i="1"/>
  <c r="L118" i="1" s="1"/>
  <c r="F121" i="1"/>
  <c r="N118" i="1" s="1"/>
  <c r="F119" i="1"/>
  <c r="J118" i="1" s="1"/>
  <c r="F112" i="1"/>
  <c r="L110" i="1" s="1"/>
  <c r="F113" i="1"/>
  <c r="N110" i="1" s="1"/>
  <c r="F111" i="1"/>
  <c r="J110" i="1" s="1"/>
  <c r="F104" i="1"/>
  <c r="L102" i="1" s="1"/>
  <c r="F105" i="1"/>
  <c r="N102" i="1" s="1"/>
  <c r="F103" i="1"/>
  <c r="J102" i="1" s="1"/>
  <c r="F96" i="1"/>
  <c r="L94" i="1" s="1"/>
  <c r="F97" i="1"/>
  <c r="N94" i="1" s="1"/>
  <c r="F95" i="1"/>
  <c r="J94" i="1" s="1"/>
  <c r="F88" i="1"/>
  <c r="L86" i="1" s="1"/>
  <c r="F89" i="1"/>
  <c r="N86" i="1" s="1"/>
  <c r="F87" i="1"/>
  <c r="J86" i="1" s="1"/>
  <c r="F80" i="1"/>
  <c r="L78" i="1" s="1"/>
  <c r="F81" i="1"/>
  <c r="N78" i="1" s="1"/>
  <c r="F79" i="1"/>
  <c r="J78" i="1" s="1"/>
  <c r="F72" i="1"/>
  <c r="L70" i="1" s="1"/>
  <c r="F73" i="1"/>
  <c r="N70" i="1" s="1"/>
  <c r="F71" i="1"/>
  <c r="J70" i="1" s="1"/>
  <c r="F64" i="1"/>
  <c r="J64" i="1" s="1"/>
  <c r="P64" i="1" s="1"/>
  <c r="H4" i="7" s="1"/>
  <c r="F63" i="1"/>
  <c r="L61" i="1" s="1"/>
  <c r="F65" i="1"/>
  <c r="N61" i="1" s="1"/>
  <c r="F62" i="1"/>
  <c r="J61" i="1" s="1"/>
  <c r="F55" i="1"/>
  <c r="L53" i="1" s="1"/>
  <c r="F56" i="1"/>
  <c r="N53" i="1" s="1"/>
  <c r="F54" i="1"/>
  <c r="J53" i="1" s="1"/>
  <c r="F47" i="1"/>
  <c r="L45" i="1" s="1"/>
  <c r="F48" i="1"/>
  <c r="N45" i="1" s="1"/>
  <c r="F46" i="1"/>
  <c r="J45" i="1" s="1"/>
  <c r="F39" i="1"/>
  <c r="L37" i="1" s="1"/>
  <c r="F40" i="1"/>
  <c r="N37" i="1" s="1"/>
  <c r="F38" i="1"/>
  <c r="J37" i="1" s="1"/>
  <c r="F31" i="1"/>
  <c r="L29" i="1" s="1"/>
  <c r="F32" i="1"/>
  <c r="N29" i="1" s="1"/>
  <c r="F30" i="1"/>
  <c r="J29" i="1" s="1"/>
  <c r="F23" i="1"/>
  <c r="F22" i="1"/>
  <c r="L20" i="1" s="1"/>
  <c r="F21" i="1"/>
  <c r="J20" i="1" s="1"/>
  <c r="F24" i="1"/>
  <c r="N20" i="1" s="1"/>
  <c r="F15" i="1"/>
  <c r="N12" i="1" s="1"/>
  <c r="F14" i="1"/>
  <c r="L12" i="1" s="1"/>
  <c r="F13" i="1"/>
  <c r="J12" i="1" s="1"/>
  <c r="F5" i="1"/>
  <c r="F6" i="1"/>
  <c r="L4" i="1" s="1"/>
  <c r="F7" i="1"/>
  <c r="N4" i="1" s="1"/>
  <c r="P77" i="4" l="1"/>
  <c r="S77" i="4" s="1"/>
  <c r="P85" i="4"/>
  <c r="S85" i="4" s="1"/>
  <c r="P52" i="2"/>
  <c r="S52" i="2" s="1"/>
  <c r="J4" i="1"/>
  <c r="AC6" i="1"/>
  <c r="P29" i="1"/>
  <c r="S29" i="1" s="1"/>
  <c r="P45" i="5"/>
  <c r="S45" i="5" s="1"/>
  <c r="P94" i="5"/>
  <c r="S94" i="5" s="1"/>
  <c r="P78" i="5"/>
  <c r="S78" i="5" s="1"/>
  <c r="P86" i="5"/>
  <c r="S86" i="5" s="1"/>
  <c r="AC7" i="5"/>
  <c r="AC8" i="5"/>
  <c r="AC6" i="5"/>
  <c r="P126" i="5"/>
  <c r="S126" i="5" s="1"/>
  <c r="P13" i="5"/>
  <c r="S13" i="5" s="1"/>
  <c r="P21" i="5"/>
  <c r="S21" i="5" s="1"/>
  <c r="P62" i="5"/>
  <c r="S62" i="5" s="1"/>
  <c r="P36" i="4"/>
  <c r="S36" i="4" s="1"/>
  <c r="P44" i="4"/>
  <c r="S44" i="4" s="1"/>
  <c r="P52" i="4"/>
  <c r="S52" i="4" s="1"/>
  <c r="P60" i="4"/>
  <c r="S60" i="4" s="1"/>
  <c r="P68" i="4"/>
  <c r="S68" i="4" s="1"/>
  <c r="AC7" i="4"/>
  <c r="AC6" i="4"/>
  <c r="AC8" i="4"/>
  <c r="J4" i="4"/>
  <c r="P4" i="4" s="1"/>
  <c r="S4" i="4" s="1"/>
  <c r="P102" i="4"/>
  <c r="S102" i="4" s="1"/>
  <c r="P12" i="4"/>
  <c r="S12" i="4" s="1"/>
  <c r="P110" i="4"/>
  <c r="S110" i="4" s="1"/>
  <c r="P118" i="4"/>
  <c r="S118" i="4" s="1"/>
  <c r="P93" i="4"/>
  <c r="S93" i="4" s="1"/>
  <c r="P28" i="4"/>
  <c r="S28" i="4" s="1"/>
  <c r="P84" i="2"/>
  <c r="S84" i="2" s="1"/>
  <c r="P44" i="2"/>
  <c r="S44" i="2" s="1"/>
  <c r="P92" i="2"/>
  <c r="S92" i="2" s="1"/>
  <c r="P116" i="2"/>
  <c r="S116" i="2" s="1"/>
  <c r="P100" i="2"/>
  <c r="S100" i="2" s="1"/>
  <c r="P12" i="2"/>
  <c r="S12" i="2" s="1"/>
  <c r="P108" i="2"/>
  <c r="S108" i="2" s="1"/>
  <c r="J23" i="2"/>
  <c r="P23" i="2" s="1"/>
  <c r="H5" i="7" s="1"/>
  <c r="P28" i="2"/>
  <c r="S28" i="2" s="1"/>
  <c r="AC8" i="2"/>
  <c r="AC6" i="2"/>
  <c r="AC7" i="2"/>
  <c r="J4" i="2"/>
  <c r="P4" i="2" s="1"/>
  <c r="S4" i="2" s="1"/>
  <c r="P20" i="2"/>
  <c r="S20" i="2" s="1"/>
  <c r="P36" i="2"/>
  <c r="S36" i="2" s="1"/>
  <c r="P53" i="1"/>
  <c r="S53" i="1" s="1"/>
  <c r="P102" i="1"/>
  <c r="S102" i="1" s="1"/>
  <c r="P70" i="1"/>
  <c r="S70" i="1" s="1"/>
  <c r="P134" i="1"/>
  <c r="S134" i="1" s="1"/>
  <c r="P12" i="1"/>
  <c r="S12" i="1" s="1"/>
  <c r="P78" i="1"/>
  <c r="S78" i="1" s="1"/>
  <c r="P110" i="1"/>
  <c r="S110" i="1" s="1"/>
  <c r="P142" i="1"/>
  <c r="S142" i="1" s="1"/>
  <c r="P4" i="1"/>
  <c r="S4" i="1" s="1"/>
  <c r="P86" i="1"/>
  <c r="S86" i="1" s="1"/>
  <c r="P118" i="1"/>
  <c r="S118" i="1" s="1"/>
  <c r="P61" i="1"/>
  <c r="S61" i="1" s="1"/>
  <c r="P94" i="1"/>
  <c r="S94" i="1" s="1"/>
  <c r="P126" i="1"/>
  <c r="S126" i="1" s="1"/>
  <c r="P20" i="1"/>
  <c r="S20" i="1" s="1"/>
  <c r="P37" i="1"/>
  <c r="S37" i="1" s="1"/>
  <c r="J23" i="1"/>
  <c r="P23" i="1" s="1"/>
  <c r="H3" i="7" s="1"/>
  <c r="AC7" i="1"/>
  <c r="AC8" i="1"/>
  <c r="P45" i="1"/>
  <c r="S45" i="1" s="1"/>
  <c r="P53" i="5"/>
  <c r="S53" i="5" s="1"/>
  <c r="P4" i="5"/>
  <c r="S4" i="5" s="1"/>
  <c r="P29" i="5"/>
  <c r="S29" i="5" s="1"/>
  <c r="P37" i="5"/>
  <c r="S37" i="5" s="1"/>
  <c r="P118" i="5"/>
  <c r="S118" i="5" s="1"/>
  <c r="P70" i="5"/>
  <c r="S70" i="5" s="1"/>
  <c r="J102" i="5"/>
  <c r="P102" i="5" s="1"/>
  <c r="S102" i="5" s="1"/>
  <c r="P110" i="5"/>
  <c r="S110" i="5" s="1"/>
  <c r="B6" i="7" l="1"/>
  <c r="R5" i="7"/>
  <c r="R3" i="7"/>
  <c r="B3" i="7"/>
  <c r="R4" i="7"/>
  <c r="V3" i="7" s="1"/>
  <c r="B5" i="7"/>
  <c r="B4" i="7"/>
  <c r="U8" i="7" l="1"/>
  <c r="U3" i="7"/>
  <c r="U6" i="7"/>
  <c r="U13" i="7"/>
  <c r="U20" i="7"/>
  <c r="U7" i="7"/>
  <c r="U21" i="7"/>
  <c r="U18" i="7"/>
  <c r="U4" i="7"/>
  <c r="U16" i="7"/>
  <c r="U12" i="7"/>
  <c r="U11" i="7"/>
  <c r="U15" i="7"/>
  <c r="U19" i="7"/>
  <c r="U22" i="7"/>
  <c r="U17" i="7"/>
  <c r="U14" i="7"/>
  <c r="U2" i="7"/>
  <c r="U5" i="7"/>
  <c r="U10" i="7"/>
  <c r="U25" i="7"/>
  <c r="U24" i="7"/>
  <c r="U9" i="7"/>
  <c r="U23" i="7"/>
  <c r="K3" i="7"/>
  <c r="N3" i="7" s="1"/>
  <c r="V2" i="7"/>
  <c r="V5" i="7"/>
  <c r="V24" i="7"/>
  <c r="V12" i="7"/>
  <c r="V23" i="7"/>
  <c r="V9" i="7"/>
  <c r="V4" i="7"/>
  <c r="V18" i="7"/>
  <c r="X18" i="7" s="1"/>
  <c r="V14" i="7"/>
  <c r="V8" i="7"/>
  <c r="V13" i="7"/>
  <c r="V6" i="7"/>
  <c r="V16" i="7"/>
  <c r="V22" i="7"/>
  <c r="V20" i="7"/>
  <c r="V10" i="7"/>
  <c r="V15" i="7"/>
  <c r="V17" i="7"/>
  <c r="V25" i="7"/>
  <c r="V19" i="7"/>
  <c r="V11" i="7"/>
  <c r="V21" i="7"/>
  <c r="V7" i="7"/>
  <c r="X8" i="7" l="1"/>
  <c r="X21" i="7"/>
  <c r="X4" i="7"/>
  <c r="X7" i="7"/>
  <c r="X20" i="7"/>
  <c r="X25" i="7"/>
  <c r="X6" i="7"/>
  <c r="X13" i="7"/>
  <c r="X17" i="7"/>
  <c r="X22" i="7"/>
  <c r="X15" i="7"/>
  <c r="X12" i="7"/>
  <c r="X3" i="7"/>
  <c r="X16" i="7"/>
  <c r="X11" i="7"/>
  <c r="X14" i="7"/>
  <c r="X19" i="7"/>
  <c r="X5" i="7"/>
  <c r="U27" i="7"/>
  <c r="U28" i="7" s="1"/>
  <c r="X10" i="7"/>
  <c r="X23" i="7"/>
  <c r="X24" i="7"/>
  <c r="X9" i="7"/>
  <c r="X2" i="7"/>
  <c r="V27" i="7"/>
  <c r="V28" i="7" s="1"/>
  <c r="X27" i="7" l="1"/>
  <c r="X28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3D778D-09F3-42DB-ADC3-652FF044B40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F72825E-BC08-48C3-A7C8-ABB89A6C1AA9}" name="WorksheetConnection_Powerplant and Distribution Design Calculations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PowerplantandDistributionDesignCalculations.xlsxTable21"/>
        </x15:connection>
      </ext>
    </extLst>
  </connection>
  <connection id="3" xr16:uid="{901E6212-F538-481C-A3F7-4BEBCA590596}" name="WorksheetConnection_Powerplant and Distribution Design Calculations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PowerplantandDistributionDesignCalculations.xlsxTable31"/>
        </x15:connection>
      </ext>
    </extLst>
  </connection>
</connections>
</file>

<file path=xl/sharedStrings.xml><?xml version="1.0" encoding="utf-8"?>
<sst xmlns="http://schemas.openxmlformats.org/spreadsheetml/2006/main" count="2531" uniqueCount="207">
  <si>
    <t>STUDY AREA 1, BLOCK 1</t>
  </si>
  <si>
    <t>LOAD</t>
  </si>
  <si>
    <t>NO. OF ESTABLISHMENTS</t>
  </si>
  <si>
    <t>ESTIMATED AVERAGE AMPACITY</t>
  </si>
  <si>
    <t>NUMBER OF PHASE</t>
  </si>
  <si>
    <t>VOLTAGE</t>
  </si>
  <si>
    <t>POWER (kW)</t>
  </si>
  <si>
    <t>Residential Load</t>
  </si>
  <si>
    <t>Commercial Load</t>
  </si>
  <si>
    <t>Industrial Load</t>
  </si>
  <si>
    <t>STUDY AREA 1, BLOCK 2</t>
  </si>
  <si>
    <t>STUDY AREA 1, BLOCK 3</t>
  </si>
  <si>
    <t>STUDY AREA 1, BLOCK 4</t>
  </si>
  <si>
    <t>STUDY AREA 1, BLOCK 5</t>
  </si>
  <si>
    <t>STUDY AREA 1, BLOCK 6</t>
  </si>
  <si>
    <t>STUDY AREA 1, BLOCK 7</t>
  </si>
  <si>
    <t>STUDY AREA 1, BLOCK 8</t>
  </si>
  <si>
    <t>STUDY AREA 1, BLOCK 9</t>
  </si>
  <si>
    <t>STUDY AREA 1, BLOCK 10</t>
  </si>
  <si>
    <t>STUDY AREA 1, BLOCK 11</t>
  </si>
  <si>
    <t>STUDY AREA 1, BLOCK 12</t>
  </si>
  <si>
    <t>STUDY AREA 1, BLOCK 13</t>
  </si>
  <si>
    <t>STUDY AREA 1, BLOCK 14</t>
  </si>
  <si>
    <t>STUDY AREA 1, BLOCK 15</t>
  </si>
  <si>
    <t>STUDY AREA 1, BLOCK 16</t>
  </si>
  <si>
    <t>STUDY AREA 1, BLOCK 17</t>
  </si>
  <si>
    <t>STUDY AREA 1, BLOCK 18</t>
  </si>
  <si>
    <t>STUDY AREA 2, BLOCK 1</t>
  </si>
  <si>
    <t>STUDY AREA 2, BLOCK 2</t>
  </si>
  <si>
    <t>STUDY AREA 2, BLOCK 3</t>
  </si>
  <si>
    <t>STUDY AREA 2, BLOCK 4</t>
  </si>
  <si>
    <t>STUDY AREA 2, BLOCK 5</t>
  </si>
  <si>
    <t>STUDY AREA 2, BLOCK 6</t>
  </si>
  <si>
    <t>STUDY AREA 2, BLOCK 7</t>
  </si>
  <si>
    <t>STUDY AREA 2, BLOCK 8</t>
  </si>
  <si>
    <t>STUDY AREA 2, BLOCK 9</t>
  </si>
  <si>
    <t>STUDY AREA 2, BLOCK 10</t>
  </si>
  <si>
    <t>STUDY AREA 2, BLOCK 11</t>
  </si>
  <si>
    <t>STUDY AREA 2, BLOCK 12</t>
  </si>
  <si>
    <t>STUDY AREA 2, BLOCK 13</t>
  </si>
  <si>
    <t>STUDY AREA 2, BLOCK 14</t>
  </si>
  <si>
    <t>STUDY AREA 2, BLOCK 15</t>
  </si>
  <si>
    <t>STUDY AREA 3, BLOCK 1</t>
  </si>
  <si>
    <t>STUDY AREA 3, BLOCK 2</t>
  </si>
  <si>
    <t>STUDY AREA 3, BLOCK 3</t>
  </si>
  <si>
    <t>STUDY AREA 3, BLOCK 4</t>
  </si>
  <si>
    <t>STUDY AREA 3, BLOCK 5</t>
  </si>
  <si>
    <t>STUDY AREA 3, BLOCK 6</t>
  </si>
  <si>
    <t>STUDY AREA 3, BLOCK 7</t>
  </si>
  <si>
    <t>STUDY AREA 3, BLOCK 8</t>
  </si>
  <si>
    <t>STUDY AREA 3, BLOCK 9</t>
  </si>
  <si>
    <t>STUDY AREA 3, BLOCK 10</t>
  </si>
  <si>
    <t>STUDY AREA 3, BLOCK 11</t>
  </si>
  <si>
    <t>STUDY AREA 3, BLOCK 12</t>
  </si>
  <si>
    <t>STUDY AREA 3, BLOCK 13</t>
  </si>
  <si>
    <t>STUDY AREA 3, BLOCK 14</t>
  </si>
  <si>
    <t>STUDY AREA 3, BLOCK 15</t>
  </si>
  <si>
    <t>STUDY AREA 4, BLOCK 1</t>
  </si>
  <si>
    <t>STUDY AREA 4, BLOCK 2</t>
  </si>
  <si>
    <t>STUDY AREA 4, BLOCK 3</t>
  </si>
  <si>
    <t>STUDY AREA 4, BLOCK 4</t>
  </si>
  <si>
    <t>STUDY AREA 4, BLOCK 5</t>
  </si>
  <si>
    <t>STUDY AREA 4, BLOCK 6</t>
  </si>
  <si>
    <t>STUDY AREA 4, BLOCK 7</t>
  </si>
  <si>
    <t>STUDY AREA 4, BLOCK 8</t>
  </si>
  <si>
    <t>STUDY AREA 4, BLOCK 9</t>
  </si>
  <si>
    <t>STUDY AREA 4, BLOCK 10</t>
  </si>
  <si>
    <t>STUDY AREA 4, BLOCK 11</t>
  </si>
  <si>
    <t>STUDY AREA 4, BLOCK 12</t>
  </si>
  <si>
    <t>STUDY AREA 4, BLOCK 13</t>
  </si>
  <si>
    <t>STUDY AREA 4, BLOCK 14</t>
  </si>
  <si>
    <t>STUDY AREA 4, BLOCK 16</t>
  </si>
  <si>
    <t>SIMULTANEOUS MAXIMUM DEMAND</t>
  </si>
  <si>
    <t>=</t>
  </si>
  <si>
    <t>+</t>
  </si>
  <si>
    <t>kW</t>
  </si>
  <si>
    <t>Power Factor</t>
  </si>
  <si>
    <t>kVA</t>
  </si>
  <si>
    <t>Commercial Load (Bulk)</t>
  </si>
  <si>
    <t>SIMULTANEOUS MAXIMUM DEMAND (BULK)</t>
  </si>
  <si>
    <t>Industrial Load (Bulk)</t>
  </si>
  <si>
    <t>FEEDERS</t>
  </si>
  <si>
    <t>LOAD SIZE</t>
  </si>
  <si>
    <t>BULK USER</t>
  </si>
  <si>
    <t>SUBSTATION SIZE</t>
  </si>
  <si>
    <t>POWER PLANT SIZE</t>
  </si>
  <si>
    <t>UNIT</t>
  </si>
  <si>
    <t>TRANSFORMER SIZE</t>
  </si>
  <si>
    <t>USE 1 - 300 kVA TRANSFORMER</t>
  </si>
  <si>
    <t>USE 1 - 450 kVA TRANSFORMER</t>
  </si>
  <si>
    <t>USE 1 - 1000 kVA TRANSFORMER</t>
  </si>
  <si>
    <t>USE 1 - 800 kVA TRANSFORMER</t>
  </si>
  <si>
    <t>USE 1 - 112.5 kVA TRANSFORMER</t>
  </si>
  <si>
    <t>USE 1 - 2500 kVA TRANSFORMER</t>
  </si>
  <si>
    <t>USE 1 - 150 kVA TRANSFORMER</t>
  </si>
  <si>
    <t>USE 1 - 600 kVA TRANSFORMER</t>
  </si>
  <si>
    <t>USE 1 - 500 kVA TRANSFORMER</t>
  </si>
  <si>
    <t>USE 1 - 225 kVA TRANSFORMER</t>
  </si>
  <si>
    <t>USE 1 - 75 kVA TRANSFORMER</t>
  </si>
  <si>
    <t>FEEDER</t>
  </si>
  <si>
    <t>Base load</t>
  </si>
  <si>
    <t>capacity factor</t>
  </si>
  <si>
    <t>connecting load</t>
  </si>
  <si>
    <t>demand factor</t>
  </si>
  <si>
    <t>diversity factor</t>
  </si>
  <si>
    <t>Geographic location</t>
  </si>
  <si>
    <t>load curve</t>
  </si>
  <si>
    <t>load estimation</t>
  </si>
  <si>
    <t>load factor</t>
  </si>
  <si>
    <t>maximum demand</t>
  </si>
  <si>
    <t>motor efficiency</t>
  </si>
  <si>
    <t>peak load</t>
  </si>
  <si>
    <t>percentage impedance</t>
  </si>
  <si>
    <t>plan use factor</t>
  </si>
  <si>
    <t>power load</t>
  </si>
  <si>
    <t>power plant</t>
  </si>
  <si>
    <t>substation</t>
  </si>
  <si>
    <t>transformer</t>
  </si>
  <si>
    <r>
      <t>V</t>
    </r>
    <r>
      <rPr>
        <vertAlign val="subscript"/>
        <sz val="11"/>
        <color theme="1"/>
        <rFont val="Calibri"/>
        <family val="2"/>
        <scheme val="minor"/>
      </rPr>
      <t>primary</t>
    </r>
  </si>
  <si>
    <r>
      <t>V</t>
    </r>
    <r>
      <rPr>
        <vertAlign val="subscript"/>
        <sz val="11"/>
        <color theme="1"/>
        <rFont val="Calibri"/>
        <family val="2"/>
        <scheme val="minor"/>
      </rPr>
      <t>secondary</t>
    </r>
  </si>
  <si>
    <t>STUDY AREA 1</t>
  </si>
  <si>
    <t>HIGH VOLTAGE</t>
  </si>
  <si>
    <r>
      <t>I</t>
    </r>
    <r>
      <rPr>
        <b/>
        <vertAlign val="subscript"/>
        <sz val="11"/>
        <color theme="1"/>
        <rFont val="Calibri"/>
        <family val="2"/>
        <scheme val="minor"/>
      </rPr>
      <t>FLC(HV)</t>
    </r>
  </si>
  <si>
    <r>
      <t>CB=1.25*I</t>
    </r>
    <r>
      <rPr>
        <b/>
        <vertAlign val="subscript"/>
        <sz val="11"/>
        <color theme="1"/>
        <rFont val="Calibri"/>
        <family val="2"/>
        <scheme val="minor"/>
      </rPr>
      <t>FLC(HV)</t>
    </r>
  </si>
  <si>
    <t xml:space="preserve">Standard CB Size </t>
  </si>
  <si>
    <t>Breaker Type</t>
  </si>
  <si>
    <t>Impedance</t>
  </si>
  <si>
    <r>
      <t>I</t>
    </r>
    <r>
      <rPr>
        <b/>
        <vertAlign val="subscript"/>
        <sz val="11"/>
        <color theme="1"/>
        <rFont val="Calibri"/>
        <family val="2"/>
        <scheme val="minor"/>
      </rPr>
      <t>FAULT</t>
    </r>
  </si>
  <si>
    <t>KAIC Rating(kA)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</si>
  <si>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B1</t>
    </r>
    <r>
      <rPr>
        <b/>
        <sz val="11"/>
        <color theme="1"/>
        <rFont val="Calibri"/>
        <family val="2"/>
        <scheme val="minor"/>
      </rPr>
      <t>=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</si>
  <si>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FLC(LV)</t>
    </r>
  </si>
  <si>
    <r>
      <t>CB=1.25*I</t>
    </r>
    <r>
      <rPr>
        <b/>
        <vertAlign val="subscript"/>
        <sz val="11"/>
        <color theme="1"/>
        <rFont val="Calibri"/>
        <family val="2"/>
        <scheme val="minor"/>
      </rPr>
      <t>FLC(LV)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</si>
  <si>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B2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</si>
  <si>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B3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</si>
  <si>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B4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</si>
  <si>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B5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</si>
  <si>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B6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</si>
  <si>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B7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</si>
  <si>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B8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</si>
  <si>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B9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</si>
  <si>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B10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</si>
  <si>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B11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</si>
  <si>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B12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</si>
  <si>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B13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</si>
  <si>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B14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</si>
  <si>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B15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</si>
  <si>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B16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</si>
  <si>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B17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</si>
  <si>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B18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</si>
  <si>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BU1</t>
    </r>
    <r>
      <rPr>
        <b/>
        <sz val="11"/>
        <color theme="1"/>
        <rFont val="Calibri"/>
        <family val="2"/>
        <scheme val="minor"/>
      </rPr>
      <t>=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</si>
  <si>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BU2</t>
    </r>
    <r>
      <rPr>
        <b/>
        <sz val="11"/>
        <color theme="1"/>
        <rFont val="Calibri"/>
        <family val="2"/>
        <scheme val="minor"/>
      </rPr>
      <t>=</t>
    </r>
  </si>
  <si>
    <t>STUDY AREA 2</t>
  </si>
  <si>
    <t>STUDY AREA 3</t>
  </si>
  <si>
    <t>STUDY AREA 4</t>
  </si>
  <si>
    <t>USE 1 - 2000 kVA TRANSFORMER</t>
  </si>
  <si>
    <t>USE 1 - 1600 kVA TRANSFORMER</t>
  </si>
  <si>
    <t>6-10</t>
  </si>
  <si>
    <t>15-18</t>
  </si>
  <si>
    <t>25-35</t>
  </si>
  <si>
    <t>60</t>
  </si>
  <si>
    <t>65</t>
  </si>
  <si>
    <t>85</t>
  </si>
  <si>
    <t>100</t>
  </si>
  <si>
    <t>125</t>
  </si>
  <si>
    <t>150</t>
  </si>
  <si>
    <t>200-250</t>
  </si>
  <si>
    <t>residential</t>
  </si>
  <si>
    <t>commercial</t>
  </si>
  <si>
    <t>max</t>
  </si>
  <si>
    <t>Combined</t>
  </si>
  <si>
    <t>Average</t>
  </si>
  <si>
    <t>Load Factor</t>
  </si>
  <si>
    <t>Column1</t>
  </si>
  <si>
    <t>Fuel Type</t>
  </si>
  <si>
    <t>Capacity</t>
  </si>
  <si>
    <t>Efficiency</t>
  </si>
  <si>
    <t>Load Type</t>
  </si>
  <si>
    <t>Base Load</t>
  </si>
  <si>
    <t>Solar</t>
  </si>
  <si>
    <t>Peak Load</t>
  </si>
  <si>
    <t>Installed(kVA)</t>
  </si>
  <si>
    <t>Dependable(kVA)</t>
  </si>
  <si>
    <t>Power (kW)</t>
  </si>
  <si>
    <t>Substation Transformer Size</t>
  </si>
  <si>
    <t>Coal Fired</t>
  </si>
  <si>
    <t>Time</t>
  </si>
  <si>
    <t>Month</t>
  </si>
  <si>
    <t>Residential (MWh)</t>
  </si>
  <si>
    <t>Commercial (MWh)</t>
  </si>
  <si>
    <t>Industrial (MWh)</t>
  </si>
  <si>
    <t>Combined (MWh)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</si>
  <si>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</si>
  <si>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</si>
  <si>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</si>
  <si>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</si>
  <si>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</si>
  <si>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</si>
  <si>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</si>
  <si>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</si>
  <si>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</si>
  <si>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</si>
  <si>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</si>
  <si>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</si>
  <si>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Row Labels</t>
  </si>
  <si>
    <t>Grand Total</t>
  </si>
  <si>
    <t>Sum of LOAD SIZE</t>
  </si>
  <si>
    <t>Total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</si>
</sst>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5EEFF"/>
        <bgColor indexed="64"/>
      </patternFill>
    </fill>
    <fill>
      <patternFill patternType="solid">
        <fgColor rgb="FFD9F8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 shrinkToFit="1"/>
    </xf>
    <xf numFmtId="2" fontId="0" fillId="0" borderId="0" xfId="0" applyNumberFormat="1"/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wrapText="1"/>
    </xf>
    <xf numFmtId="2" fontId="1" fillId="0" borderId="2" xfId="0" applyNumberFormat="1" applyFont="1" applyBorder="1"/>
    <xf numFmtId="2" fontId="1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0" fontId="0" fillId="0" borderId="0" xfId="1" applyNumberFormat="1" applyFont="1"/>
    <xf numFmtId="49" fontId="0" fillId="0" borderId="0" xfId="0" applyNumberFormat="1"/>
    <xf numFmtId="0" fontId="3" fillId="0" borderId="0" xfId="0" applyFont="1"/>
    <xf numFmtId="165" fontId="0" fillId="0" borderId="0" xfId="0" applyNumberFormat="1"/>
    <xf numFmtId="0" fontId="1" fillId="0" borderId="2" xfId="0" applyFont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0" borderId="5" xfId="0" applyNumberFormat="1" applyBorder="1"/>
    <xf numFmtId="0" fontId="1" fillId="0" borderId="11" xfId="0" applyFont="1" applyBorder="1"/>
    <xf numFmtId="0" fontId="1" fillId="0" borderId="12" xfId="0" applyFont="1" applyBorder="1"/>
    <xf numFmtId="18" fontId="1" fillId="0" borderId="13" xfId="0" applyNumberFormat="1" applyFont="1" applyBorder="1" applyAlignment="1">
      <alignment vertical="center" wrapText="1"/>
    </xf>
    <xf numFmtId="2" fontId="0" fillId="0" borderId="14" xfId="0" applyNumberFormat="1" applyBorder="1"/>
    <xf numFmtId="18" fontId="1" fillId="0" borderId="17" xfId="0" applyNumberFormat="1" applyFont="1" applyBorder="1" applyAlignment="1">
      <alignment vertical="center" wrapText="1"/>
    </xf>
    <xf numFmtId="2" fontId="0" fillId="0" borderId="18" xfId="0" applyNumberFormat="1" applyBorder="1"/>
    <xf numFmtId="2" fontId="0" fillId="0" borderId="19" xfId="0" applyNumberFormat="1" applyBorder="1"/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4" fontId="0" fillId="0" borderId="5" xfId="0" applyNumberFormat="1" applyBorder="1" applyAlignment="1">
      <alignment vertical="center" wrapText="1"/>
    </xf>
    <xf numFmtId="0" fontId="0" fillId="0" borderId="5" xfId="0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2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8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pivotButton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7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27">
    <dxf>
      <numFmt numFmtId="165" formatCode="0.00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  <dxf>
      <numFmt numFmtId="2" formatCode="0.00"/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left" textRotation="0" indent="0" justifyLastLine="0" readingOrder="0"/>
    </dxf>
    <dxf>
      <alignment horizontal="center" textRotation="0" indent="0" justifyLastLine="0" readingOrder="0"/>
    </dxf>
    <dxf>
      <alignment horizontal="center" vertical="center" textRotation="0" wrapText="1" indent="0" justifyLastLine="0" shrinkToFit="1" readingOrder="0"/>
    </dxf>
  </dxfs>
  <tableStyles count="0" defaultTableStyle="TableStyleMedium2" defaultPivotStyle="PivotStyleLight16"/>
  <colors>
    <mruColors>
      <color rgb="FFD9F8FF"/>
      <color rgb="FFD5EEFF"/>
      <color rgb="FFC1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0"/>
              <a:t>LOAD PER STUDY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B4-499F-B0B2-E0C12148D73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B4-499F-B0B2-E0C12148D73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B4-499F-B0B2-E0C12148D73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B4-499F-B0B2-E0C12148D737}"/>
              </c:ext>
            </c:extLst>
          </c:dPt>
          <c:dLbls>
            <c:dLbl>
              <c:idx val="0"/>
              <c:layout>
                <c:manualLayout>
                  <c:x val="0.19409282700421926"/>
                  <c:y val="-0.12499999999999996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B4-499F-B0B2-E0C12148D737}"/>
                </c:ext>
              </c:extLst>
            </c:dLbl>
            <c:dLbl>
              <c:idx val="1"/>
              <c:layout>
                <c:manualLayout>
                  <c:x val="0.13080168776371301"/>
                  <c:y val="8.3333333333333245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B4-499F-B0B2-E0C12148D737}"/>
                </c:ext>
              </c:extLst>
            </c:dLbl>
            <c:dLbl>
              <c:idx val="2"/>
              <c:layout>
                <c:manualLayout>
                  <c:x val="-0.20253164556962025"/>
                  <c:y val="9.2592592592592587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B4-499F-B0B2-E0C12148D737}"/>
                </c:ext>
              </c:extLst>
            </c:dLbl>
            <c:dLbl>
              <c:idx val="3"/>
              <c:layout>
                <c:manualLayout>
                  <c:x val="-0.189873417721519"/>
                  <c:y val="-0.12037037037037036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B4-499F-B0B2-E0C12148D73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'FEEDER AND SUBSTATION'!$D$20:$D$23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'FEEDER AND SUBSTATION'!$E$20:$E$23</c:f>
              <c:numCache>
                <c:formatCode>0.00</c:formatCode>
                <c:ptCount val="4"/>
                <c:pt idx="0">
                  <c:v>8316.1710449180318</c:v>
                </c:pt>
                <c:pt idx="1">
                  <c:v>8204.9302098441112</c:v>
                </c:pt>
                <c:pt idx="2">
                  <c:v>7735.9225932253557</c:v>
                </c:pt>
                <c:pt idx="3">
                  <c:v>8337.6391226994674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B4-499F-B0B2-E0C12148D73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'FEEDER AND SUBSTATION'!$U$1</c:f>
              <c:strCache>
                <c:ptCount val="1"/>
                <c:pt idx="0">
                  <c:v>Residential 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'FEEDER AND SUBSTATION'!$T$2:$T$25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'FEEDER AND SUBSTATION'!$U$2:$U$25</c:f>
              <c:numCache>
                <c:formatCode>0.00</c:formatCode>
                <c:ptCount val="24"/>
                <c:pt idx="0">
                  <c:v>13431.574074074073</c:v>
                </c:pt>
                <c:pt idx="1">
                  <c:v>12088.416666666666</c:v>
                </c:pt>
                <c:pt idx="2">
                  <c:v>10745.259259259259</c:v>
                </c:pt>
                <c:pt idx="3">
                  <c:v>10745.259259259259</c:v>
                </c:pt>
                <c:pt idx="4">
                  <c:v>12088.416666666666</c:v>
                </c:pt>
                <c:pt idx="5">
                  <c:v>13431.574074074073</c:v>
                </c:pt>
                <c:pt idx="6">
                  <c:v>18804.203703703704</c:v>
                </c:pt>
                <c:pt idx="7">
                  <c:v>24176.833333333332</c:v>
                </c:pt>
                <c:pt idx="8">
                  <c:v>26863.148148148146</c:v>
                </c:pt>
                <c:pt idx="9">
                  <c:v>25519.990740740741</c:v>
                </c:pt>
                <c:pt idx="10">
                  <c:v>22833.675925925927</c:v>
                </c:pt>
                <c:pt idx="11">
                  <c:v>21490.518518518518</c:v>
                </c:pt>
                <c:pt idx="12">
                  <c:v>20147.361111111109</c:v>
                </c:pt>
                <c:pt idx="13">
                  <c:v>20147.361111111109</c:v>
                </c:pt>
                <c:pt idx="14">
                  <c:v>20147.361111111109</c:v>
                </c:pt>
                <c:pt idx="15">
                  <c:v>21490.518518518518</c:v>
                </c:pt>
                <c:pt idx="16">
                  <c:v>24176.833333333332</c:v>
                </c:pt>
                <c:pt idx="17">
                  <c:v>26863.148148148146</c:v>
                </c:pt>
                <c:pt idx="18">
                  <c:v>29549.462962962964</c:v>
                </c:pt>
                <c:pt idx="19">
                  <c:v>33578.935185185182</c:v>
                </c:pt>
                <c:pt idx="20">
                  <c:v>36265.25</c:v>
                </c:pt>
                <c:pt idx="21">
                  <c:v>34922.092592592591</c:v>
                </c:pt>
                <c:pt idx="22">
                  <c:v>29549.462962962964</c:v>
                </c:pt>
                <c:pt idx="23">
                  <c:v>13431.574074074073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69-44A9-AE79-BEF57739157C}"/>
            </c:ext>
          </c:extLst>
        </c:ser>
        <c:ser>
          <c:idx val="1"/>
          <c:order val="1"/>
          <c:tx>
            <c:strRef>
              <c:f>'FEEDER AND SUBSTATION'!$V$1</c:f>
              <c:strCache>
                <c:ptCount val="1"/>
                <c:pt idx="0">
                  <c:v>Commercial Load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'FEEDER AND SUBSTATION'!$T$2:$T$25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'FEEDER AND SUBSTATION'!$V$2:$V$25</c:f>
              <c:numCache>
                <c:formatCode>0.00</c:formatCode>
                <c:ptCount val="24"/>
                <c:pt idx="0">
                  <c:v>3505.9415787917492</c:v>
                </c:pt>
                <c:pt idx="1">
                  <c:v>2804.7532630333994</c:v>
                </c:pt>
                <c:pt idx="2">
                  <c:v>2804.7532630333994</c:v>
                </c:pt>
                <c:pt idx="3">
                  <c:v>2103.5649472750497</c:v>
                </c:pt>
                <c:pt idx="4">
                  <c:v>2103.5649472750497</c:v>
                </c:pt>
                <c:pt idx="5">
                  <c:v>2804.7532630333994</c:v>
                </c:pt>
                <c:pt idx="6">
                  <c:v>7011.8831575834984</c:v>
                </c:pt>
                <c:pt idx="7">
                  <c:v>14023.766315166997</c:v>
                </c:pt>
                <c:pt idx="8">
                  <c:v>21035.649472750494</c:v>
                </c:pt>
                <c:pt idx="9">
                  <c:v>24541.591051542244</c:v>
                </c:pt>
                <c:pt idx="10">
                  <c:v>28047.532630333993</c:v>
                </c:pt>
                <c:pt idx="11">
                  <c:v>29449.909261850695</c:v>
                </c:pt>
                <c:pt idx="12">
                  <c:v>30151.097577609045</c:v>
                </c:pt>
                <c:pt idx="13">
                  <c:v>29449.909261850695</c:v>
                </c:pt>
                <c:pt idx="14">
                  <c:v>28047.532630333993</c:v>
                </c:pt>
                <c:pt idx="15">
                  <c:v>26645.155998817296</c:v>
                </c:pt>
                <c:pt idx="16">
                  <c:v>24541.591051542244</c:v>
                </c:pt>
                <c:pt idx="17">
                  <c:v>21035.649472750494</c:v>
                </c:pt>
                <c:pt idx="18">
                  <c:v>17529.707893958748</c:v>
                </c:pt>
                <c:pt idx="19">
                  <c:v>14023.766315166997</c:v>
                </c:pt>
                <c:pt idx="20">
                  <c:v>10517.824736375247</c:v>
                </c:pt>
                <c:pt idx="21">
                  <c:v>7011.8831575834984</c:v>
                </c:pt>
                <c:pt idx="22">
                  <c:v>4207.1298945500994</c:v>
                </c:pt>
                <c:pt idx="23">
                  <c:v>3505.9415787917492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69-44A9-AE79-BEF57739157C}"/>
            </c:ext>
          </c:extLst>
        </c:ser>
        <c:ser>
          <c:idx val="2"/>
          <c:order val="2"/>
          <c:tx>
            <c:strRef>
              <c:f>'FEEDER AND SUBSTATION'!$W$1</c:f>
              <c:strCache>
                <c:ptCount val="1"/>
                <c:pt idx="0">
                  <c:v>Industrial Load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'FEEDER AND SUBSTATION'!$T$2:$T$25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'FEEDER AND SUBSTATION'!$W$2:$W$25</c:f>
              <c:numCache>
                <c:formatCode>0.00</c:formatCode>
                <c:ptCount val="24"/>
                <c:pt idx="0">
                  <c:v>3879.7939999999999</c:v>
                </c:pt>
                <c:pt idx="1">
                  <c:v>3879.7939999999999</c:v>
                </c:pt>
                <c:pt idx="2">
                  <c:v>3879.7939999999999</c:v>
                </c:pt>
                <c:pt idx="3">
                  <c:v>3879.7939999999999</c:v>
                </c:pt>
                <c:pt idx="4">
                  <c:v>3879.7939999999999</c:v>
                </c:pt>
                <c:pt idx="5">
                  <c:v>3879.7939999999999</c:v>
                </c:pt>
                <c:pt idx="6">
                  <c:v>3879.7939999999999</c:v>
                </c:pt>
                <c:pt idx="7">
                  <c:v>3879.7939999999999</c:v>
                </c:pt>
                <c:pt idx="8">
                  <c:v>3879.7939999999999</c:v>
                </c:pt>
                <c:pt idx="9">
                  <c:v>3879.7939999999999</c:v>
                </c:pt>
                <c:pt idx="10">
                  <c:v>3879.7939999999999</c:v>
                </c:pt>
                <c:pt idx="11">
                  <c:v>3879.7939999999999</c:v>
                </c:pt>
                <c:pt idx="12">
                  <c:v>3879.7939999999999</c:v>
                </c:pt>
                <c:pt idx="13">
                  <c:v>3879.7939999999999</c:v>
                </c:pt>
                <c:pt idx="14">
                  <c:v>3879.7939999999999</c:v>
                </c:pt>
                <c:pt idx="15">
                  <c:v>3879.7939999999999</c:v>
                </c:pt>
                <c:pt idx="16">
                  <c:v>3879.7939999999999</c:v>
                </c:pt>
                <c:pt idx="17">
                  <c:v>3879.7939999999999</c:v>
                </c:pt>
                <c:pt idx="18">
                  <c:v>3879.7939999999999</c:v>
                </c:pt>
                <c:pt idx="19">
                  <c:v>3879.7939999999999</c:v>
                </c:pt>
                <c:pt idx="20">
                  <c:v>3879.7939999999999</c:v>
                </c:pt>
                <c:pt idx="21">
                  <c:v>3879.7939999999999</c:v>
                </c:pt>
                <c:pt idx="22">
                  <c:v>3879.7939999999999</c:v>
                </c:pt>
                <c:pt idx="23">
                  <c:v>3879.7939999999999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69-44A9-AE79-BEF57739157C}"/>
            </c:ext>
          </c:extLst>
        </c:ser>
        <c:ser>
          <c:idx val="3"/>
          <c:order val="3"/>
          <c:tx>
            <c:strRef>
              <c:f>'FEEDER AND SUBSTATION'!$X$1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3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E69-44A9-AE79-BEF57739157C}"/>
                </c:ext>
              </c:extLst>
            </c:dLbl>
            <c:dLbl>
              <c:idx val="1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DE69-44A9-AE79-BEF5773915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'FEEDER AND SUBSTATION'!$T$2:$T$25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'FEEDER AND SUBSTATION'!$X$2:$X$25</c:f>
              <c:numCache>
                <c:formatCode>0.00</c:formatCode>
                <c:ptCount val="24"/>
                <c:pt idx="0">
                  <c:v>20817.309652865821</c:v>
                </c:pt>
                <c:pt idx="1">
                  <c:v>18772.963929700065</c:v>
                </c:pt>
                <c:pt idx="2">
                  <c:v>17429.80652229266</c:v>
                </c:pt>
                <c:pt idx="3">
                  <c:v>16728.618206534309</c:v>
                </c:pt>
                <c:pt idx="4">
                  <c:v>18071.775613941718</c:v>
                </c:pt>
                <c:pt idx="5">
                  <c:v>20116.12133710747</c:v>
                </c:pt>
                <c:pt idx="6">
                  <c:v>29695.880861287202</c:v>
                </c:pt>
                <c:pt idx="7">
                  <c:v>42080.393648500329</c:v>
                </c:pt>
                <c:pt idx="8">
                  <c:v>51778.591620898638</c:v>
                </c:pt>
                <c:pt idx="9">
                  <c:v>53941.37579228299</c:v>
                </c:pt>
                <c:pt idx="10">
                  <c:v>54761.002556259926</c:v>
                </c:pt>
                <c:pt idx="11">
                  <c:v>54820.221780369211</c:v>
                </c:pt>
                <c:pt idx="12">
                  <c:v>54178.25268872016</c:v>
                </c:pt>
                <c:pt idx="13">
                  <c:v>53477.06437296181</c:v>
                </c:pt>
                <c:pt idx="14">
                  <c:v>52074.687741445108</c:v>
                </c:pt>
                <c:pt idx="15">
                  <c:v>52015.468517335816</c:v>
                </c:pt>
                <c:pt idx="16">
                  <c:v>52598.218384875574</c:v>
                </c:pt>
                <c:pt idx="17">
                  <c:v>51778.591620898638</c:v>
                </c:pt>
                <c:pt idx="18">
                  <c:v>50958.964856921717</c:v>
                </c:pt>
                <c:pt idx="19">
                  <c:v>51482.495500352183</c:v>
                </c:pt>
                <c:pt idx="20">
                  <c:v>50662.868736375247</c:v>
                </c:pt>
                <c:pt idx="21">
                  <c:v>45813.769750176092</c:v>
                </c:pt>
                <c:pt idx="22">
                  <c:v>37636.386857513062</c:v>
                </c:pt>
                <c:pt idx="23">
                  <c:v>20817.309652865821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69-44A9-AE79-BEF577391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1642799"/>
        <c:axId val="1661653839"/>
      </c:lineChart>
      <c:catAx>
        <c:axId val="1661642799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53839"/>
        <c:crosses val="autoZero"/>
        <c:auto val="1"/>
        <c:lblAlgn val="ctr"/>
        <c:lblOffset val="100"/>
        <c:noMultiLvlLbl val="0"/>
      </c:catAx>
      <c:valAx>
        <c:axId val="166165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4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Yearly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'FEEDER AND SUBSTATION'!$AK$1</c:f>
              <c:strCache>
                <c:ptCount val="1"/>
                <c:pt idx="0">
                  <c:v>Residential (MWh)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'FEEDER AND SUBSTATION'!$AJ$2:$AJ$13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'FEEDER AND SUBSTATION'!$AK$2:$AK$13</c:f>
              <c:numCache>
                <c:formatCode>#,##0.00</c:formatCode>
                <c:ptCount val="12"/>
                <c:pt idx="0">
                  <c:v>21825.55</c:v>
                </c:pt>
                <c:pt idx="1">
                  <c:v>19713.400000000001</c:v>
                </c:pt>
                <c:pt idx="2">
                  <c:v>21825.55</c:v>
                </c:pt>
                <c:pt idx="3">
                  <c:v>21121.4</c:v>
                </c:pt>
                <c:pt idx="4">
                  <c:v>21825.55</c:v>
                </c:pt>
                <c:pt idx="5">
                  <c:v>21121.4</c:v>
                </c:pt>
                <c:pt idx="6">
                  <c:v>21825.55</c:v>
                </c:pt>
                <c:pt idx="7">
                  <c:v>21825.55</c:v>
                </c:pt>
                <c:pt idx="8">
                  <c:v>21121.4</c:v>
                </c:pt>
                <c:pt idx="9">
                  <c:v>21825.55</c:v>
                </c:pt>
                <c:pt idx="10">
                  <c:v>21121.4</c:v>
                </c:pt>
                <c:pt idx="11">
                  <c:v>21825.55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2-4F62-9058-D88CC4FA6FB2}"/>
            </c:ext>
          </c:extLst>
        </c:ser>
        <c:ser>
          <c:idx val="1"/>
          <c:order val="1"/>
          <c:tx>
            <c:strRef>
              <c:f>'FEEDER AND SUBSTATION'!$AL$1</c:f>
              <c:strCache>
                <c:ptCount val="1"/>
                <c:pt idx="0">
                  <c:v>Commercial (MWh)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'FEEDER AND SUBSTATION'!$AJ$2:$AJ$13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'FEEDER AND SUBSTATION'!$AL$2:$AL$13</c:f>
              <c:numCache>
                <c:formatCode>#,##0.00</c:formatCode>
                <c:ptCount val="12"/>
                <c:pt idx="0">
                  <c:v>7260.23</c:v>
                </c:pt>
                <c:pt idx="1">
                  <c:v>6557.78</c:v>
                </c:pt>
                <c:pt idx="2">
                  <c:v>7260.23</c:v>
                </c:pt>
                <c:pt idx="3">
                  <c:v>7026</c:v>
                </c:pt>
                <c:pt idx="4">
                  <c:v>7260.23</c:v>
                </c:pt>
                <c:pt idx="5">
                  <c:v>7026</c:v>
                </c:pt>
                <c:pt idx="6">
                  <c:v>7260.23</c:v>
                </c:pt>
                <c:pt idx="7">
                  <c:v>7260.23</c:v>
                </c:pt>
                <c:pt idx="8">
                  <c:v>7026</c:v>
                </c:pt>
                <c:pt idx="9">
                  <c:v>7260.23</c:v>
                </c:pt>
                <c:pt idx="10">
                  <c:v>7026</c:v>
                </c:pt>
                <c:pt idx="11">
                  <c:v>7260.23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C2-4F62-9058-D88CC4FA6FB2}"/>
            </c:ext>
          </c:extLst>
        </c:ser>
        <c:ser>
          <c:idx val="2"/>
          <c:order val="2"/>
          <c:tx>
            <c:strRef>
              <c:f>'FEEDER AND SUBSTATION'!$AM$1</c:f>
              <c:strCache>
                <c:ptCount val="1"/>
                <c:pt idx="0">
                  <c:v>Industrial (MWh)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'FEEDER AND SUBSTATION'!$AJ$2:$AJ$13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'FEEDER AND SUBSTATION'!$AM$2:$AM$13</c:f>
              <c:numCache>
                <c:formatCode>#,##0.00</c:formatCode>
                <c:ptCount val="12"/>
                <c:pt idx="0">
                  <c:v>2885.79</c:v>
                </c:pt>
                <c:pt idx="1">
                  <c:v>2606.52</c:v>
                </c:pt>
                <c:pt idx="2">
                  <c:v>2885.79</c:v>
                </c:pt>
                <c:pt idx="3">
                  <c:v>2792.7</c:v>
                </c:pt>
                <c:pt idx="4">
                  <c:v>2885.79</c:v>
                </c:pt>
                <c:pt idx="5">
                  <c:v>2792.7</c:v>
                </c:pt>
                <c:pt idx="6">
                  <c:v>2885.79</c:v>
                </c:pt>
                <c:pt idx="7">
                  <c:v>2885.79</c:v>
                </c:pt>
                <c:pt idx="8">
                  <c:v>2792.7</c:v>
                </c:pt>
                <c:pt idx="9">
                  <c:v>2885.79</c:v>
                </c:pt>
                <c:pt idx="10">
                  <c:v>2792.7</c:v>
                </c:pt>
                <c:pt idx="11">
                  <c:v>2885.79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C2-4F62-9058-D88CC4FA6FB2}"/>
            </c:ext>
          </c:extLst>
        </c:ser>
        <c:ser>
          <c:idx val="3"/>
          <c:order val="3"/>
          <c:tx>
            <c:strRef>
              <c:f>'FEEDER AND SUBSTATION'!$AN$1</c:f>
              <c:strCache>
                <c:ptCount val="1"/>
                <c:pt idx="0">
                  <c:v>Combined (MWh)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'FEEDER AND SUBSTATION'!$AJ$2:$AJ$13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'FEEDER AND SUBSTATION'!$AN$2:$AN$13</c:f>
              <c:numCache>
                <c:formatCode>#,##0.00</c:formatCode>
                <c:ptCount val="12"/>
                <c:pt idx="0">
                  <c:v>32875</c:v>
                </c:pt>
                <c:pt idx="1">
                  <c:v>29694</c:v>
                </c:pt>
                <c:pt idx="2">
                  <c:v>32875</c:v>
                </c:pt>
                <c:pt idx="3">
                  <c:v>31814</c:v>
                </c:pt>
                <c:pt idx="4">
                  <c:v>32875</c:v>
                </c:pt>
                <c:pt idx="5">
                  <c:v>31814</c:v>
                </c:pt>
                <c:pt idx="6">
                  <c:v>32875</c:v>
                </c:pt>
                <c:pt idx="7">
                  <c:v>32875</c:v>
                </c:pt>
                <c:pt idx="8">
                  <c:v>31814</c:v>
                </c:pt>
                <c:pt idx="9">
                  <c:v>32875</c:v>
                </c:pt>
                <c:pt idx="10">
                  <c:v>31814</c:v>
                </c:pt>
                <c:pt idx="11">
                  <c:v>32875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C2-4F62-9058-D88CC4FA6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616991"/>
        <c:axId val="1843612191"/>
      </c:lineChart>
      <c:catAx>
        <c:axId val="184361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612191"/>
        <c:crosses val="autoZero"/>
        <c:auto val="1"/>
        <c:lblAlgn val="ctr"/>
        <c:lblOffset val="100"/>
        <c:noMultiLvlLbl val="0"/>
      </c:catAx>
      <c:valAx>
        <c:axId val="184361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61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'FEEDER AND SUBSTATION'!$U$1</c:f>
              <c:strCache>
                <c:ptCount val="1"/>
                <c:pt idx="0">
                  <c:v>Residential 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'FEEDER AND SUBSTATION'!$T$2:$T$25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'FEEDER AND SUBSTATION'!$U$2:$U$25</c:f>
              <c:numCache>
                <c:formatCode>0.00</c:formatCode>
                <c:ptCount val="24"/>
                <c:pt idx="0">
                  <c:v>13431.574074074073</c:v>
                </c:pt>
                <c:pt idx="1">
                  <c:v>12088.416666666666</c:v>
                </c:pt>
                <c:pt idx="2">
                  <c:v>10745.259259259259</c:v>
                </c:pt>
                <c:pt idx="3">
                  <c:v>10745.259259259259</c:v>
                </c:pt>
                <c:pt idx="4">
                  <c:v>12088.416666666666</c:v>
                </c:pt>
                <c:pt idx="5">
                  <c:v>13431.574074074073</c:v>
                </c:pt>
                <c:pt idx="6">
                  <c:v>18804.203703703704</c:v>
                </c:pt>
                <c:pt idx="7">
                  <c:v>24176.833333333332</c:v>
                </c:pt>
                <c:pt idx="8">
                  <c:v>26863.148148148146</c:v>
                </c:pt>
                <c:pt idx="9">
                  <c:v>25519.990740740741</c:v>
                </c:pt>
                <c:pt idx="10">
                  <c:v>22833.675925925927</c:v>
                </c:pt>
                <c:pt idx="11">
                  <c:v>21490.518518518518</c:v>
                </c:pt>
                <c:pt idx="12">
                  <c:v>20147.361111111109</c:v>
                </c:pt>
                <c:pt idx="13">
                  <c:v>20147.361111111109</c:v>
                </c:pt>
                <c:pt idx="14">
                  <c:v>20147.361111111109</c:v>
                </c:pt>
                <c:pt idx="15">
                  <c:v>21490.518518518518</c:v>
                </c:pt>
                <c:pt idx="16">
                  <c:v>24176.833333333332</c:v>
                </c:pt>
                <c:pt idx="17">
                  <c:v>26863.148148148146</c:v>
                </c:pt>
                <c:pt idx="18">
                  <c:v>29549.462962962964</c:v>
                </c:pt>
                <c:pt idx="19">
                  <c:v>33578.935185185182</c:v>
                </c:pt>
                <c:pt idx="20">
                  <c:v>36265.25</c:v>
                </c:pt>
                <c:pt idx="21">
                  <c:v>34922.092592592591</c:v>
                </c:pt>
                <c:pt idx="22">
                  <c:v>29549.462962962964</c:v>
                </c:pt>
                <c:pt idx="23">
                  <c:v>13431.574074074073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9-41B4-8F57-DC84F00D644F}"/>
            </c:ext>
          </c:extLst>
        </c:ser>
        <c:ser>
          <c:idx val="1"/>
          <c:order val="1"/>
          <c:tx>
            <c:strRef>
              <c:f>'FEEDER AND SUBSTATION'!$V$1</c:f>
              <c:strCache>
                <c:ptCount val="1"/>
                <c:pt idx="0">
                  <c:v>Commercial Load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'FEEDER AND SUBSTATION'!$T$2:$T$25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'FEEDER AND SUBSTATION'!$V$2:$V$25</c:f>
              <c:numCache>
                <c:formatCode>0.00</c:formatCode>
                <c:ptCount val="24"/>
                <c:pt idx="0">
                  <c:v>3505.9415787917492</c:v>
                </c:pt>
                <c:pt idx="1">
                  <c:v>2804.7532630333994</c:v>
                </c:pt>
                <c:pt idx="2">
                  <c:v>2804.7532630333994</c:v>
                </c:pt>
                <c:pt idx="3">
                  <c:v>2103.5649472750497</c:v>
                </c:pt>
                <c:pt idx="4">
                  <c:v>2103.5649472750497</c:v>
                </c:pt>
                <c:pt idx="5">
                  <c:v>2804.7532630333994</c:v>
                </c:pt>
                <c:pt idx="6">
                  <c:v>7011.8831575834984</c:v>
                </c:pt>
                <c:pt idx="7">
                  <c:v>14023.766315166997</c:v>
                </c:pt>
                <c:pt idx="8">
                  <c:v>21035.649472750494</c:v>
                </c:pt>
                <c:pt idx="9">
                  <c:v>24541.591051542244</c:v>
                </c:pt>
                <c:pt idx="10">
                  <c:v>28047.532630333993</c:v>
                </c:pt>
                <c:pt idx="11">
                  <c:v>29449.909261850695</c:v>
                </c:pt>
                <c:pt idx="12">
                  <c:v>30151.097577609045</c:v>
                </c:pt>
                <c:pt idx="13">
                  <c:v>29449.909261850695</c:v>
                </c:pt>
                <c:pt idx="14">
                  <c:v>28047.532630333993</c:v>
                </c:pt>
                <c:pt idx="15">
                  <c:v>26645.155998817296</c:v>
                </c:pt>
                <c:pt idx="16">
                  <c:v>24541.591051542244</c:v>
                </c:pt>
                <c:pt idx="17">
                  <c:v>21035.649472750494</c:v>
                </c:pt>
                <c:pt idx="18">
                  <c:v>17529.707893958748</c:v>
                </c:pt>
                <c:pt idx="19">
                  <c:v>14023.766315166997</c:v>
                </c:pt>
                <c:pt idx="20">
                  <c:v>10517.824736375247</c:v>
                </c:pt>
                <c:pt idx="21">
                  <c:v>7011.8831575834984</c:v>
                </c:pt>
                <c:pt idx="22">
                  <c:v>4207.1298945500994</c:v>
                </c:pt>
                <c:pt idx="23">
                  <c:v>3505.9415787917492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9-41B4-8F57-DC84F00D644F}"/>
            </c:ext>
          </c:extLst>
        </c:ser>
        <c:ser>
          <c:idx val="2"/>
          <c:order val="2"/>
          <c:tx>
            <c:strRef>
              <c:f>'FEEDER AND SUBSTATION'!$W$1</c:f>
              <c:strCache>
                <c:ptCount val="1"/>
                <c:pt idx="0">
                  <c:v>Industrial Load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'FEEDER AND SUBSTATION'!$T$2:$T$25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'FEEDER AND SUBSTATION'!$W$2:$W$25</c:f>
              <c:numCache>
                <c:formatCode>0.00</c:formatCode>
                <c:ptCount val="24"/>
                <c:pt idx="0">
                  <c:v>3879.7939999999999</c:v>
                </c:pt>
                <c:pt idx="1">
                  <c:v>3879.7939999999999</c:v>
                </c:pt>
                <c:pt idx="2">
                  <c:v>3879.7939999999999</c:v>
                </c:pt>
                <c:pt idx="3">
                  <c:v>3879.7939999999999</c:v>
                </c:pt>
                <c:pt idx="4">
                  <c:v>3879.7939999999999</c:v>
                </c:pt>
                <c:pt idx="5">
                  <c:v>3879.7939999999999</c:v>
                </c:pt>
                <c:pt idx="6">
                  <c:v>3879.7939999999999</c:v>
                </c:pt>
                <c:pt idx="7">
                  <c:v>3879.7939999999999</c:v>
                </c:pt>
                <c:pt idx="8">
                  <c:v>3879.7939999999999</c:v>
                </c:pt>
                <c:pt idx="9">
                  <c:v>3879.7939999999999</c:v>
                </c:pt>
                <c:pt idx="10">
                  <c:v>3879.7939999999999</c:v>
                </c:pt>
                <c:pt idx="11">
                  <c:v>3879.7939999999999</c:v>
                </c:pt>
                <c:pt idx="12">
                  <c:v>3879.7939999999999</c:v>
                </c:pt>
                <c:pt idx="13">
                  <c:v>3879.7939999999999</c:v>
                </c:pt>
                <c:pt idx="14">
                  <c:v>3879.7939999999999</c:v>
                </c:pt>
                <c:pt idx="15">
                  <c:v>3879.7939999999999</c:v>
                </c:pt>
                <c:pt idx="16">
                  <c:v>3879.7939999999999</c:v>
                </c:pt>
                <c:pt idx="17">
                  <c:v>3879.7939999999999</c:v>
                </c:pt>
                <c:pt idx="18">
                  <c:v>3879.7939999999999</c:v>
                </c:pt>
                <c:pt idx="19">
                  <c:v>3879.7939999999999</c:v>
                </c:pt>
                <c:pt idx="20">
                  <c:v>3879.7939999999999</c:v>
                </c:pt>
                <c:pt idx="21">
                  <c:v>3879.7939999999999</c:v>
                </c:pt>
                <c:pt idx="22">
                  <c:v>3879.7939999999999</c:v>
                </c:pt>
                <c:pt idx="23">
                  <c:v>3879.7939999999999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B9-41B4-8F57-DC84F00D644F}"/>
            </c:ext>
          </c:extLst>
        </c:ser>
        <c:ser>
          <c:idx val="3"/>
          <c:order val="3"/>
          <c:tx>
            <c:strRef>
              <c:f>'FEEDER AND SUBSTATION'!$X$1</c:f>
              <c:strCache>
                <c:ptCount val="1"/>
                <c:pt idx="0">
                  <c:v>Combined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3"/>
              <c:spPr>
                <a:solidFill>
                  <a:sysClr val="windowText" lastClr="000000">
                    <a:lumMod val="65000"/>
                    <a:lumOff val="3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15000"/>
                          <a:lumOff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10B9-41B4-8F57-DC84F00D644F}"/>
                </c:ext>
              </c:extLst>
            </c:dLbl>
            <c:dLbl>
              <c:idx val="10"/>
              <c:spPr>
                <a:solidFill>
                  <a:sysClr val="windowText" lastClr="000000">
                    <a:lumMod val="65000"/>
                    <a:lumOff val="3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15000"/>
                          <a:lumOff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10B9-41B4-8F57-DC84F00D64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'FEEDER AND SUBSTATION'!$T$2:$T$25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'FEEDER AND SUBSTATION'!$X$2:$X$25</c:f>
              <c:numCache>
                <c:formatCode>0.00</c:formatCode>
                <c:ptCount val="24"/>
                <c:pt idx="0">
                  <c:v>20817.309652865821</c:v>
                </c:pt>
                <c:pt idx="1">
                  <c:v>18772.963929700065</c:v>
                </c:pt>
                <c:pt idx="2">
                  <c:v>17429.80652229266</c:v>
                </c:pt>
                <c:pt idx="3">
                  <c:v>16728.618206534309</c:v>
                </c:pt>
                <c:pt idx="4">
                  <c:v>18071.775613941718</c:v>
                </c:pt>
                <c:pt idx="5">
                  <c:v>20116.12133710747</c:v>
                </c:pt>
                <c:pt idx="6">
                  <c:v>29695.880861287202</c:v>
                </c:pt>
                <c:pt idx="7">
                  <c:v>42080.393648500329</c:v>
                </c:pt>
                <c:pt idx="8">
                  <c:v>51778.591620898638</c:v>
                </c:pt>
                <c:pt idx="9">
                  <c:v>53941.37579228299</c:v>
                </c:pt>
                <c:pt idx="10">
                  <c:v>54761.002556259926</c:v>
                </c:pt>
                <c:pt idx="11">
                  <c:v>54820.221780369211</c:v>
                </c:pt>
                <c:pt idx="12">
                  <c:v>54178.25268872016</c:v>
                </c:pt>
                <c:pt idx="13">
                  <c:v>53477.06437296181</c:v>
                </c:pt>
                <c:pt idx="14">
                  <c:v>52074.687741445108</c:v>
                </c:pt>
                <c:pt idx="15">
                  <c:v>52015.468517335816</c:v>
                </c:pt>
                <c:pt idx="16">
                  <c:v>52598.218384875574</c:v>
                </c:pt>
                <c:pt idx="17">
                  <c:v>51778.591620898638</c:v>
                </c:pt>
                <c:pt idx="18">
                  <c:v>50958.964856921717</c:v>
                </c:pt>
                <c:pt idx="19">
                  <c:v>51482.495500352183</c:v>
                </c:pt>
                <c:pt idx="20">
                  <c:v>50662.868736375247</c:v>
                </c:pt>
                <c:pt idx="21">
                  <c:v>45813.769750176092</c:v>
                </c:pt>
                <c:pt idx="22">
                  <c:v>37636.386857513062</c:v>
                </c:pt>
                <c:pt idx="23">
                  <c:v>20817.309652865821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B9-41B4-8F57-DC84F00D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1642799"/>
        <c:axId val="1661653839"/>
      </c:lineChart>
      <c:catAx>
        <c:axId val="16616427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53839"/>
        <c:crosses val="autoZero"/>
        <c:auto val="1"/>
        <c:lblAlgn val="ctr"/>
        <c:lblOffset val="100"/>
        <c:noMultiLvlLbl val="0"/>
      </c:catAx>
      <c:valAx>
        <c:axId val="16616538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Demand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4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POWERPLANT INSTALLED CAPACITY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POWERPLANT INSTALLED CAPACITY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sunburst" uniqueId="{81CDFC8F-04AB-48CF-A0CF-BADD27D19B01}">
          <cx:dataLabels pos="ctr">
            <cx:numFmt formatCode="0&quot;kVA&quot;" sourceLinked="0"/>
            <cx:visibility seriesName="0" categoryName="0" value="1"/>
            <cx:separator>, </cx:separator>
          </cx:dataLabels>
          <cx:dataId val="0"/>
        </cx:series>
      </cx:plotAreaRegion>
    </cx:plotArea>
    <cx:legend pos="b" align="ctr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5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53340</xdr:rowOff>
    </xdr:from>
    <xdr:to>
      <xdr:col>23</xdr:col>
      <xdr:colOff>53340</xdr:colOff>
      <xdr:row>3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9D9F242-2847-F362-1813-15E307817D08}"/>
            </a:ext>
          </a:extLst>
        </xdr:cNvPr>
        <xdr:cNvSpPr/>
      </xdr:nvSpPr>
      <xdr:spPr>
        <a:xfrm>
          <a:off x="114300" y="53340"/>
          <a:ext cx="13959840" cy="571500"/>
        </a:xfrm>
        <a:prstGeom prst="roundRect">
          <a:avLst/>
        </a:prstGeom>
        <a:solidFill>
          <a:srgbClr val="C1E7FF"/>
        </a:solidFill>
        <a:ln w="28575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600">
              <a:solidFill>
                <a:schemeClr val="accent1">
                  <a:lumMod val="50000"/>
                </a:schemeClr>
              </a:solidFill>
            </a:rPr>
            <a:t>POWERPLANT</a:t>
          </a:r>
          <a:r>
            <a:rPr lang="en-PH" sz="3600" baseline="0">
              <a:solidFill>
                <a:schemeClr val="accent1">
                  <a:lumMod val="50000"/>
                </a:schemeClr>
              </a:solidFill>
            </a:rPr>
            <a:t> AND DISTRIBUTION DESIGN</a:t>
          </a:r>
          <a:endParaRPr lang="en-PH" sz="36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45720</xdr:colOff>
      <xdr:row>12</xdr:row>
      <xdr:rowOff>76200</xdr:rowOff>
    </xdr:from>
    <xdr:to>
      <xdr:col>5</xdr:col>
      <xdr:colOff>205740</xdr:colOff>
      <xdr:row>32</xdr:row>
      <xdr:rowOff>60960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D3D7A1F-DE5D-43AD-BE4E-80C0BC79F1C9}"/>
            </a:ext>
          </a:extLst>
        </xdr:cNvPr>
        <xdr:cNvSpPr/>
      </xdr:nvSpPr>
      <xdr:spPr>
        <a:xfrm>
          <a:off x="45720" y="2270760"/>
          <a:ext cx="3208020" cy="3642360"/>
        </a:xfrm>
        <a:prstGeom prst="roundRect">
          <a:avLst/>
        </a:prstGeom>
        <a:solidFill>
          <a:srgbClr val="C1E7FF"/>
        </a:solidFill>
        <a:ln w="28575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PH" sz="36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358140</xdr:colOff>
      <xdr:row>12</xdr:row>
      <xdr:rowOff>106680</xdr:rowOff>
    </xdr:from>
    <xdr:to>
      <xdr:col>10</xdr:col>
      <xdr:colOff>518160</xdr:colOff>
      <xdr:row>32</xdr:row>
      <xdr:rowOff>45720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D45E2BD-86BD-40FA-AE1E-7C27C1659D04}"/>
            </a:ext>
          </a:extLst>
        </xdr:cNvPr>
        <xdr:cNvSpPr/>
      </xdr:nvSpPr>
      <xdr:spPr>
        <a:xfrm>
          <a:off x="3406140" y="2301240"/>
          <a:ext cx="3208020" cy="3596640"/>
        </a:xfrm>
        <a:prstGeom prst="roundRect">
          <a:avLst/>
        </a:prstGeom>
        <a:solidFill>
          <a:srgbClr val="C1E7FF"/>
        </a:solidFill>
        <a:ln w="28575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PH" sz="36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106680</xdr:colOff>
      <xdr:row>3</xdr:row>
      <xdr:rowOff>160020</xdr:rowOff>
    </xdr:from>
    <xdr:to>
      <xdr:col>3</xdr:col>
      <xdr:colOff>289560</xdr:colOff>
      <xdr:row>11</xdr:row>
      <xdr:rowOff>129540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F292C9E-4D88-4FF8-AAA7-010635A3D50E}"/>
            </a:ext>
          </a:extLst>
        </xdr:cNvPr>
        <xdr:cNvSpPr/>
      </xdr:nvSpPr>
      <xdr:spPr>
        <a:xfrm>
          <a:off x="106680" y="708660"/>
          <a:ext cx="2011680" cy="1432560"/>
        </a:xfrm>
        <a:prstGeom prst="roundRect">
          <a:avLst/>
        </a:prstGeom>
        <a:solidFill>
          <a:srgbClr val="C1E7FF"/>
        </a:solidFill>
        <a:ln w="28575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200" b="1">
              <a:solidFill>
                <a:schemeClr val="accent1">
                  <a:lumMod val="50000"/>
                </a:schemeClr>
              </a:solidFill>
            </a:rPr>
            <a:t>POWERPLANT SIZE:</a:t>
          </a:r>
        </a:p>
        <a:p>
          <a:pPr algn="ctr"/>
          <a:endParaRPr lang="en-PH" sz="140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PH" sz="2400">
              <a:solidFill>
                <a:schemeClr val="accent1">
                  <a:lumMod val="50000"/>
                </a:schemeClr>
              </a:solidFill>
            </a:rPr>
            <a:t>27093.30kVA</a:t>
          </a:r>
        </a:p>
      </xdr:txBody>
    </xdr:sp>
    <xdr:clientData/>
  </xdr:twoCellAnchor>
  <xdr:twoCellAnchor>
    <xdr:from>
      <xdr:col>3</xdr:col>
      <xdr:colOff>419100</xdr:colOff>
      <xdr:row>3</xdr:row>
      <xdr:rowOff>152400</xdr:rowOff>
    </xdr:from>
    <xdr:to>
      <xdr:col>6</xdr:col>
      <xdr:colOff>563880</xdr:colOff>
      <xdr:row>11</xdr:row>
      <xdr:rowOff>137160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247191B-9444-4875-9282-9C5037E288DF}"/>
            </a:ext>
          </a:extLst>
        </xdr:cNvPr>
        <xdr:cNvSpPr/>
      </xdr:nvSpPr>
      <xdr:spPr>
        <a:xfrm>
          <a:off x="2247900" y="701040"/>
          <a:ext cx="1973580" cy="1447800"/>
        </a:xfrm>
        <a:prstGeom prst="roundRect">
          <a:avLst/>
        </a:prstGeom>
        <a:solidFill>
          <a:srgbClr val="C1E7FF"/>
        </a:solidFill>
        <a:ln w="28575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200" b="1">
              <a:solidFill>
                <a:schemeClr val="accent1">
                  <a:lumMod val="50000"/>
                </a:schemeClr>
              </a:solidFill>
            </a:rPr>
            <a:t>SUBSTATION SIZE:</a:t>
          </a:r>
        </a:p>
        <a:p>
          <a:pPr algn="ctr"/>
          <a:endParaRPr lang="en-PH" sz="1400" b="1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PH" sz="2400" b="0">
              <a:solidFill>
                <a:schemeClr val="accent1">
                  <a:lumMod val="50000"/>
                </a:schemeClr>
              </a:solidFill>
            </a:rPr>
            <a:t>13960.14kVA</a:t>
          </a:r>
          <a:endParaRPr lang="en-PH" sz="1400">
            <a:solidFill>
              <a:schemeClr val="accent1">
                <a:lumMod val="50000"/>
              </a:schemeClr>
            </a:solidFill>
          </a:endParaRPr>
        </a:p>
        <a:p>
          <a:pPr algn="ctr"/>
          <a:endParaRPr lang="en-PH" sz="14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99060</xdr:colOff>
      <xdr:row>3</xdr:row>
      <xdr:rowOff>160020</xdr:rowOff>
    </xdr:from>
    <xdr:to>
      <xdr:col>10</xdr:col>
      <xdr:colOff>548640</xdr:colOff>
      <xdr:row>11</xdr:row>
      <xdr:rowOff>129540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92D1CC3-C841-4C06-ACAF-74678FC81F03}"/>
            </a:ext>
          </a:extLst>
        </xdr:cNvPr>
        <xdr:cNvSpPr/>
      </xdr:nvSpPr>
      <xdr:spPr>
        <a:xfrm>
          <a:off x="4366260" y="708660"/>
          <a:ext cx="2278380" cy="1432560"/>
        </a:xfrm>
        <a:prstGeom prst="roundRect">
          <a:avLst/>
        </a:prstGeom>
        <a:solidFill>
          <a:srgbClr val="C1E7FF"/>
        </a:solidFill>
        <a:ln w="28575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chemeClr val="accent1">
                  <a:lumMod val="50000"/>
                </a:schemeClr>
              </a:solidFill>
            </a:rPr>
            <a:t>LOAD</a:t>
          </a:r>
          <a:r>
            <a:rPr lang="en-PH" sz="1000" b="1" baseline="0">
              <a:solidFill>
                <a:schemeClr val="accent1">
                  <a:lumMod val="50000"/>
                </a:schemeClr>
              </a:solidFill>
            </a:rPr>
            <a:t> TYPES:</a:t>
          </a:r>
        </a:p>
        <a:p>
          <a:pPr algn="ctr"/>
          <a:endParaRPr lang="en-PH" sz="1000" b="1" baseline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PH" sz="1000" b="1" baseline="0">
              <a:solidFill>
                <a:schemeClr val="accent1">
                  <a:lumMod val="50000"/>
                </a:schemeClr>
              </a:solidFill>
            </a:rPr>
            <a:t>RESIDENTIAL</a:t>
          </a:r>
        </a:p>
        <a:p>
          <a:pPr algn="ctr"/>
          <a:r>
            <a:rPr lang="en-PH" sz="1000" b="1" baseline="0">
              <a:solidFill>
                <a:schemeClr val="accent1">
                  <a:lumMod val="50000"/>
                </a:schemeClr>
              </a:solidFill>
            </a:rPr>
            <a:t>COMMERCIAL</a:t>
          </a:r>
        </a:p>
        <a:p>
          <a:pPr algn="ctr"/>
          <a:r>
            <a:rPr lang="en-PH" sz="1000" b="1" baseline="0">
              <a:solidFill>
                <a:schemeClr val="accent1">
                  <a:lumMod val="50000"/>
                </a:schemeClr>
              </a:solidFill>
            </a:rPr>
            <a:t>INDUSTRIAL</a:t>
          </a:r>
        </a:p>
        <a:p>
          <a:pPr algn="ctr"/>
          <a:r>
            <a:rPr lang="en-PH" sz="1000" b="1" baseline="0">
              <a:solidFill>
                <a:schemeClr val="accent1">
                  <a:lumMod val="50000"/>
                </a:schemeClr>
              </a:solidFill>
            </a:rPr>
            <a:t>COMMERCIAL BULK</a:t>
          </a:r>
        </a:p>
        <a:p>
          <a:pPr algn="ctr"/>
          <a:r>
            <a:rPr lang="en-PH" sz="1000" b="1" baseline="0">
              <a:solidFill>
                <a:schemeClr val="accent1">
                  <a:lumMod val="50000"/>
                </a:schemeClr>
              </a:solidFill>
            </a:rPr>
            <a:t>INDUSTRIAL BULK</a:t>
          </a:r>
          <a:endParaRPr lang="en-PH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60960</xdr:colOff>
      <xdr:row>3</xdr:row>
      <xdr:rowOff>137160</xdr:rowOff>
    </xdr:from>
    <xdr:to>
      <xdr:col>23</xdr:col>
      <xdr:colOff>30480</xdr:colOff>
      <xdr:row>17</xdr:row>
      <xdr:rowOff>38100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2F5C1B8-939B-4F56-B6A6-3B3A160C5845}"/>
            </a:ext>
          </a:extLst>
        </xdr:cNvPr>
        <xdr:cNvSpPr/>
      </xdr:nvSpPr>
      <xdr:spPr>
        <a:xfrm>
          <a:off x="6766560" y="685800"/>
          <a:ext cx="7284720" cy="2461260"/>
        </a:xfrm>
        <a:prstGeom prst="roundRect">
          <a:avLst/>
        </a:prstGeom>
        <a:solidFill>
          <a:srgbClr val="C1E7FF"/>
        </a:solidFill>
        <a:ln w="28575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PH" sz="36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38100</xdr:colOff>
      <xdr:row>18</xdr:row>
      <xdr:rowOff>22860</xdr:rowOff>
    </xdr:from>
    <xdr:to>
      <xdr:col>23</xdr:col>
      <xdr:colOff>30480</xdr:colOff>
      <xdr:row>32</xdr:row>
      <xdr:rowOff>30480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C2A1628-1B91-4E69-9AA4-55C455ECBF3C}"/>
            </a:ext>
          </a:extLst>
        </xdr:cNvPr>
        <xdr:cNvSpPr/>
      </xdr:nvSpPr>
      <xdr:spPr>
        <a:xfrm>
          <a:off x="6743700" y="3314700"/>
          <a:ext cx="7307580" cy="2567940"/>
        </a:xfrm>
        <a:prstGeom prst="roundRect">
          <a:avLst/>
        </a:prstGeom>
        <a:solidFill>
          <a:srgbClr val="C1E7FF"/>
        </a:solidFill>
        <a:ln w="28575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PH" sz="36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160020</xdr:colOff>
      <xdr:row>13</xdr:row>
      <xdr:rowOff>22860</xdr:rowOff>
    </xdr:from>
    <xdr:to>
      <xdr:col>5</xdr:col>
      <xdr:colOff>45720</xdr:colOff>
      <xdr:row>31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383136D-17BF-47A1-B0C0-B21E8506C9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020" y="2400300"/>
              <a:ext cx="2933700" cy="3436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373380</xdr:colOff>
      <xdr:row>13</xdr:row>
      <xdr:rowOff>15240</xdr:rowOff>
    </xdr:from>
    <xdr:to>
      <xdr:col>10</xdr:col>
      <xdr:colOff>441960</xdr:colOff>
      <xdr:row>31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1636CB-5FB0-466D-976F-9B01D1B18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76200</xdr:colOff>
      <xdr:row>3</xdr:row>
      <xdr:rowOff>160021</xdr:rowOff>
    </xdr:from>
    <xdr:to>
      <xdr:col>22</xdr:col>
      <xdr:colOff>601980</xdr:colOff>
      <xdr:row>17</xdr:row>
      <xdr:rowOff>106680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044234-E75F-40A7-B9A5-1D10184D1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45720</xdr:colOff>
      <xdr:row>18</xdr:row>
      <xdr:rowOff>91440</xdr:rowOff>
    </xdr:from>
    <xdr:to>
      <xdr:col>22</xdr:col>
      <xdr:colOff>495300</xdr:colOff>
      <xdr:row>31</xdr:row>
      <xdr:rowOff>160019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D5DEA43-216A-4125-9870-570D69164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175260</xdr:rowOff>
    </xdr:from>
    <xdr:to>
      <xdr:col>20</xdr:col>
      <xdr:colOff>110837</xdr:colOff>
      <xdr:row>29</xdr:row>
      <xdr:rowOff>124691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98B9B-A7FD-4424-B23E-3DD427371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75.578195023147" createdVersion="5" refreshedVersion="8" minRefreshableVersion="3" recordCount="0" supportSubquery="1" supportAdvancedDrill="1" xr:uid="{E5590176-7F62-4898-96AD-32387A28236F}">
  <cacheSource type="external" connectionId="1"/>
  <cacheFields count="2">
    <cacheField name="[Bulk Users].[FEEDER].[FEEDER]" caption="FEEDER" numFmtId="0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Bulk Users].[FEEDER].&amp;[1]"/>
            <x15:cachedUniqueName index="1" name="[Bulk Users].[FEEDER].&amp;[2]"/>
            <x15:cachedUniqueName index="2" name="[Bulk Users].[FEEDER].&amp;[3]"/>
            <x15:cachedUniqueName index="3" name="[Bulk Users].[FEEDER].&amp;[4]"/>
          </x15:cachedUniqueNames>
        </ext>
      </extLst>
    </cacheField>
    <cacheField name="[Measures].[Sum of LOAD SIZE]" caption="Sum of LOAD SIZE" numFmtId="0" hierarchy="10" level="32767"/>
  </cacheFields>
  <cacheHierarchies count="12">
    <cacheHierarchy uniqueName="[Bulk Users].[FEEDER]" caption="FEEDER" attribute="1" defaultMemberUniqueName="[Bulk Users].[FEEDER].[All]" allUniqueName="[Bulk Users].[FEEDER].[All]" dimensionUniqueName="[Bulk Users]" displayFolder="" count="2" memberValueDatatype="20" unbalanced="0">
      <fieldsUsage count="2">
        <fieldUsage x="-1"/>
        <fieldUsage x="0"/>
      </fieldsUsage>
    </cacheHierarchy>
    <cacheHierarchy uniqueName="[Bulk Users].[BULK USER]" caption="BULK USER" attribute="1" defaultMemberUniqueName="[Bulk Users].[BULK USER].[All]" allUniqueName="[Bulk Users].[BULK USER].[All]" dimensionUniqueName="[Bulk Users]" displayFolder="" count="0" memberValueDatatype="20" unbalanced="0"/>
    <cacheHierarchy uniqueName="[Bulk Users].[LOAD SIZE]" caption="LOAD SIZE" attribute="1" defaultMemberUniqueName="[Bulk Users].[LOAD SIZE].[All]" allUniqueName="[Bulk Users].[LOAD SIZE].[All]" dimensionUniqueName="[Bulk Users]" displayFolder="" count="2" memberValueDatatype="5" unbalanced="0"/>
    <cacheHierarchy uniqueName="[Bulk Users].[UNIT]" caption="UNIT" attribute="1" defaultMemberUniqueName="[Bulk Users].[UNIT].[All]" allUniqueName="[Bulk Users].[UNIT].[All]" dimensionUniqueName="[Bulk Users]" displayFolder="" count="0" memberValueDatatype="130" unbalanced="0"/>
    <cacheHierarchy uniqueName="[Feeders].[FEEDERS]" caption="FEEDERS" attribute="1" defaultMemberUniqueName="[Feeders].[FEEDERS].[All]" allUniqueName="[Feeders].[FEEDERS].[All]" dimensionUniqueName="[Feeders]" displayFolder="" count="0" memberValueDatatype="20" unbalanced="0"/>
    <cacheHierarchy uniqueName="[Feeders].[LOAD SIZE]" caption="LOAD SIZE" attribute="1" defaultMemberUniqueName="[Feeders].[LOAD SIZE].[All]" allUniqueName="[Feeders].[LOAD SIZE].[All]" dimensionUniqueName="[Feeders]" displayFolder="" count="2" memberValueDatatype="5" unbalanced="0"/>
    <cacheHierarchy uniqueName="[Feeders].[UNIT]" caption="UNIT" attribute="1" defaultMemberUniqueName="[Feeders].[UNIT].[All]" allUniqueName="[Feeders].[UNIT].[All]" dimensionUniqueName="[Feeders]" displayFolder="" count="0" memberValueDatatype="130" unbalanced="0"/>
    <cacheHierarchy uniqueName="[Measures].[__XL_Count Table2]" caption="__XL_Count Table2" measure="1" displayFolder="" measureGroup="Feeders" count="0" hidden="1"/>
    <cacheHierarchy uniqueName="[Measures].[__XL_Count Table3]" caption="__XL_Count Table3" measure="1" displayFolder="" measureGroup="Bulk Users" count="0" hidden="1"/>
    <cacheHierarchy uniqueName="[Measures].[__No measures defined]" caption="__No measures defined" measure="1" displayFolder="" count="0" hidden="1"/>
    <cacheHierarchy uniqueName="[Measures].[Sum of LOAD SIZE]" caption="Sum of LOAD SIZE" measure="1" displayFolder="" measureGroup="Bulk Us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LOAD SIZE 2]" caption="Sum of LOAD SIZE 2" measure="1" displayFolder="" measureGroup="Feed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Bulk Users" uniqueName="[Bulk Users]" caption="Bulk Users"/>
    <dimension name="Feeders" uniqueName="[Feeders]" caption="Feeders"/>
    <dimension measure="1" name="Measures" uniqueName="[Measures]" caption="Measures"/>
  </dimensions>
  <measureGroups count="2">
    <measureGroup name="Bulk Users" caption="Bulk Users"/>
    <measureGroup name="Feeders" caption="Feed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E48F2-966C-4E65-BDDD-874691510D75}" name="PivotTable13" cacheId="0" applyNumberFormats="0" applyBorderFormats="0" applyFontFormats="0" applyPatternFormats="0" applyAlignmentFormats="0" applyWidthHeightFormats="1" dataCaption="Values" tag="8b205db6-5382-46e7-a6dd-0d99b2715825" updatedVersion="8" minRefreshableVersion="3" useAutoFormatting="1" subtotalHiddenItems="1" itemPrintTitles="1" createdVersion="5" indent="0" outline="1" outlineData="1" multipleFieldFilters="0">
  <location ref="A12:B1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LOAD SIZE" fld="1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lk Users]"/>
        <x15:activeTabTopLevelEntity name="[Fee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997D0-C341-4043-8D4A-25638A5971EA}" name="Table1" displayName="Table1" ref="A4:F7" totalsRowShown="0" headerRowDxfId="526" dataDxfId="525">
  <autoFilter ref="A4:F7" xr:uid="{7CD997D0-C341-4043-8D4A-25638A5971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4EDB534-67EB-45B6-A648-AB7B3C57D1FE}" name="LOAD" dataDxfId="524"/>
    <tableColumn id="2" xr3:uid="{3E5AB0A5-8198-4261-9C8B-B77760F85FA1}" name="NO. OF ESTABLISHMENTS" dataDxfId="523"/>
    <tableColumn id="3" xr3:uid="{A560111C-1CB8-4D1E-94A3-417BE85F2FBA}" name="ESTIMATED AVERAGE AMPACITY" dataDxfId="522"/>
    <tableColumn id="4" xr3:uid="{A71D20D9-BEE1-49D9-8C02-9743370C705D}" name="NUMBER OF PHASE" dataDxfId="521"/>
    <tableColumn id="5" xr3:uid="{3798F866-90F2-4E67-9C12-7BA870A58533}" name="VOLTAGE" dataDxfId="520"/>
    <tableColumn id="6" xr3:uid="{9945F306-D78A-4BD5-9711-ED1229A7D799}" name="POWER (kW)" dataDxfId="519">
      <calculatedColumnFormula>Table1[[#This Row],[NO. OF ESTABLISHMENTS]]*Table1[[#This Row],[ESTIMATED AVERAGE AMPACITY]]*Table1[[#This Row],[VOLTAGE]]/1000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B095A7-DB9F-4DC4-A3FF-FE1F528B492A}" name="Table15" displayName="Table15" ref="A12:F15" totalsRowShown="0" headerRowDxfId="518" dataDxfId="517">
  <autoFilter ref="A12:F15" xr:uid="{C3B095A7-DB9F-4DC4-A3FF-FE1F528B49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33A648-7BC5-4D0A-AE3A-74A881927F76}" name="LOAD" dataDxfId="516"/>
    <tableColumn id="2" xr3:uid="{1C06965C-460E-4FE4-92AE-E6FBD630544F}" name="NO. OF ESTABLISHMENTS" dataDxfId="515"/>
    <tableColumn id="3" xr3:uid="{339E237C-F116-4C9F-A11B-469B3586ADF7}" name="ESTIMATED AVERAGE AMPACITY" dataDxfId="514"/>
    <tableColumn id="4" xr3:uid="{D592F334-8A6E-48DD-9CD1-F477F568137F}" name="NUMBER OF PHASE" dataDxfId="513"/>
    <tableColumn id="5" xr3:uid="{54E665A4-0515-4A91-B265-143C02D9F5A2}" name="VOLTAGE" dataDxfId="512"/>
    <tableColumn id="6" xr3:uid="{A4F8D124-D2DD-4BEA-B54E-70A339AA3759}" name="POWER (kW)" dataDxfId="511">
      <calculatedColumnFormula>Table15[[#This Row],[NO. OF ESTABLISHMENTS]]*Table15[[#This Row],[ESTIMATED AVERAGE AMPACITY]]*Table15[[#This Row],[VOLTAGE]]/1000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AEF212-AD79-4083-A727-E4261328E577}" name="Table16" displayName="Table16" ref="A20:F24" totalsRowShown="0" headerRowDxfId="510" dataDxfId="509">
  <autoFilter ref="A20:F24" xr:uid="{EEAEF212-AD79-4083-A727-E4261328E5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1EB7A8-E332-4A18-A75B-3EA20510AE31}" name="LOAD" dataDxfId="508"/>
    <tableColumn id="2" xr3:uid="{10A82B2E-B576-4C61-A230-D4373EF144D4}" name="NO. OF ESTABLISHMENTS" dataDxfId="507"/>
    <tableColumn id="3" xr3:uid="{5E3F9D9C-9B80-42BD-8881-D3CF8956BF7A}" name="ESTIMATED AVERAGE AMPACITY" dataDxfId="506"/>
    <tableColumn id="4" xr3:uid="{E100127C-4E0D-4BF4-904B-606E74B97FEE}" name="NUMBER OF PHASE" dataDxfId="505"/>
    <tableColumn id="5" xr3:uid="{ABEA5650-EC56-4D75-870D-F3A0554F387E}" name="VOLTAGE" dataDxfId="504"/>
    <tableColumn id="6" xr3:uid="{1B50C2FD-5E5F-459C-9D4B-DDFC517CD62E}" name="POWER (kW)" dataDxfId="503">
      <calculatedColumnFormula>SQRT(3)*Table16[[#This Row],[NO. OF ESTABLISHMENTS]]*Table16[[#This Row],[ESTIMATED AVERAGE AMPACITY]]*Table16[[#This Row],[VOLTAGE]]/1000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D0BC5E-6A9D-4147-ACBB-28AE33F8F0C2}" name="Table17" displayName="Table17" ref="A29:F32" totalsRowShown="0" headerRowDxfId="502" dataDxfId="501">
  <autoFilter ref="A29:F32" xr:uid="{15D0BC5E-6A9D-4147-ACBB-28AE33F8F0C2}"/>
  <tableColumns count="6">
    <tableColumn id="1" xr3:uid="{FCEE1F41-1516-4A34-AFAC-80D0A7C6796C}" name="LOAD" dataDxfId="500"/>
    <tableColumn id="2" xr3:uid="{26ED6B74-5A16-478E-8F25-28329834B4AD}" name="NO. OF ESTABLISHMENTS" dataDxfId="499"/>
    <tableColumn id="3" xr3:uid="{CB0335F8-9E19-4CFC-939E-AFAE6B1955DF}" name="ESTIMATED AVERAGE AMPACITY" dataDxfId="498"/>
    <tableColumn id="4" xr3:uid="{6ED4A2BD-F98E-4A0D-ADD6-F3AD62B2A207}" name="NUMBER OF PHASE" dataDxfId="497"/>
    <tableColumn id="5" xr3:uid="{9CF4AD4E-B998-4825-9FC4-ED009BE9C2EE}" name="VOLTAGE" dataDxfId="496"/>
    <tableColumn id="6" xr3:uid="{9C5E69A8-2D44-4F37-97F0-D4D4E6491361}" name="POWER (kW)" dataDxfId="495">
      <calculatedColumnFormula>Table17[[#This Row],[NO. OF ESTABLISHMENTS]]*Table17[[#This Row],[ESTIMATED AVERAGE AMPACITY]]*Table17[[#This Row],[VOLTAGE]]/1000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E7B073-1C17-466B-B603-CC5D6111C33D}" name="Table158" displayName="Table158" ref="A37:F40" totalsRowShown="0" headerRowDxfId="494" dataDxfId="493">
  <autoFilter ref="A37:F40" xr:uid="{CBE7B073-1C17-466B-B603-CC5D6111C33D}"/>
  <tableColumns count="6">
    <tableColumn id="1" xr3:uid="{07420D3E-D8A0-4E29-8C4A-388E8141E9EC}" name="LOAD" dataDxfId="492"/>
    <tableColumn id="2" xr3:uid="{B59C66BF-C9D9-4778-AACE-A35CA25EDC01}" name="NO. OF ESTABLISHMENTS" dataDxfId="491"/>
    <tableColumn id="3" xr3:uid="{41F4EE7D-2ABC-41D8-9A60-61B09355D613}" name="ESTIMATED AVERAGE AMPACITY" dataDxfId="490"/>
    <tableColumn id="4" xr3:uid="{CC5D5FFB-E000-4887-ABAB-A0A9AC9C385F}" name="NUMBER OF PHASE" dataDxfId="489"/>
    <tableColumn id="5" xr3:uid="{F2662E70-A160-4E74-8F6A-9C57B369FA48}" name="VOLTAGE" dataDxfId="488"/>
    <tableColumn id="6" xr3:uid="{2859510D-679F-413D-B78C-5CC2AA80BFF0}" name="POWER (kW)" dataDxfId="487">
      <calculatedColumnFormula>Table158[[#This Row],[NO. OF ESTABLISHMENTS]]*Table158[[#This Row],[ESTIMATED AVERAGE AMPACITY]]*Table158[[#This Row],[VOLTAGE]]/1000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8D03A3-CAF0-44E7-BAE0-90001AFA9B87}" name="Table169" displayName="Table169" ref="A45:F48" totalsRowShown="0" headerRowDxfId="486" dataDxfId="485">
  <autoFilter ref="A45:F48" xr:uid="{588D03A3-CAF0-44E7-BAE0-90001AFA9B87}"/>
  <tableColumns count="6">
    <tableColumn id="1" xr3:uid="{2ACFAFA6-2E2F-46A6-9474-3E1B1734F7FF}" name="LOAD" dataDxfId="484"/>
    <tableColumn id="2" xr3:uid="{B81925BB-FD7A-4E9D-BEBA-12A0D978F522}" name="NO. OF ESTABLISHMENTS" dataDxfId="483"/>
    <tableColumn id="3" xr3:uid="{1A7467AB-C500-4EAB-A3BF-D0AFF73F8345}" name="ESTIMATED AVERAGE AMPACITY" dataDxfId="482"/>
    <tableColumn id="4" xr3:uid="{D37A54DD-9090-4937-82FA-476D6B3B62AA}" name="NUMBER OF PHASE" dataDxfId="481"/>
    <tableColumn id="5" xr3:uid="{426CC7D4-55D1-48BD-9AC6-1DDFE3064D99}" name="VOLTAGE" dataDxfId="480"/>
    <tableColumn id="6" xr3:uid="{DD8EA549-A5D7-41DF-BF40-2E6514650EFB}" name="POWER (kW)" dataDxfId="479">
      <calculatedColumnFormula>Table169[[#This Row],[NO. OF ESTABLISHMENTS]]*Table169[[#This Row],[ESTIMATED AVERAGE AMPACITY]]*Table169[[#This Row],[VOLTAGE]]/1000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DBC2C0-2EDE-427B-AEC5-B30C7428FC9A}" name="Table110" displayName="Table110" ref="A53:F56" totalsRowShown="0" headerRowDxfId="478" dataDxfId="477">
  <autoFilter ref="A53:F56" xr:uid="{AADBC2C0-2EDE-427B-AEC5-B30C7428FC9A}"/>
  <tableColumns count="6">
    <tableColumn id="1" xr3:uid="{475B660C-FCA1-4123-99C2-F18587E8CCDB}" name="LOAD" dataDxfId="476"/>
    <tableColumn id="2" xr3:uid="{4E537B12-6219-4CD6-92DE-0120F7526E5D}" name="NO. OF ESTABLISHMENTS" dataDxfId="475"/>
    <tableColumn id="3" xr3:uid="{4B4F09D1-8A6A-48A3-B6AF-90DF66680A87}" name="ESTIMATED AVERAGE AMPACITY" dataDxfId="474"/>
    <tableColumn id="4" xr3:uid="{3B490FC8-54AF-4CD0-98A3-D53F4C9D2568}" name="NUMBER OF PHASE" dataDxfId="473"/>
    <tableColumn id="5" xr3:uid="{8C507675-A393-455E-9D73-0FAD4E3998E5}" name="VOLTAGE" dataDxfId="472"/>
    <tableColumn id="6" xr3:uid="{5E661CDD-FF88-4623-BF5A-253C75420781}" name="POWER (kW)" dataDxfId="471">
      <calculatedColumnFormula>Table110[[#This Row],[NO. OF ESTABLISHMENTS]]*Table110[[#This Row],[ESTIMATED AVERAGE AMPACITY]]*Table110[[#This Row],[VOLTAGE]]/1000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4E7427-3C2D-4B97-AC6A-84D93B9567DC}" name="Table1511" displayName="Table1511" ref="A61:F65" totalsRowShown="0" headerRowDxfId="470" dataDxfId="469">
  <autoFilter ref="A61:F65" xr:uid="{0C4E7427-3C2D-4B97-AC6A-84D93B9567DC}"/>
  <tableColumns count="6">
    <tableColumn id="1" xr3:uid="{371D37F2-BACB-47F4-B62B-A63382D56252}" name="LOAD" dataDxfId="468"/>
    <tableColumn id="2" xr3:uid="{1B3ACA6E-68D4-4191-BA01-517D0E3B9236}" name="NO. OF ESTABLISHMENTS" dataDxfId="467"/>
    <tableColumn id="3" xr3:uid="{1A3B03E2-B944-4862-804A-9DF816E4854C}" name="ESTIMATED AVERAGE AMPACITY" dataDxfId="466"/>
    <tableColumn id="4" xr3:uid="{C3A741EF-526F-45E5-8F45-D3EECCA42050}" name="NUMBER OF PHASE" dataDxfId="465"/>
    <tableColumn id="5" xr3:uid="{EDE7C50F-5A3D-46FA-8303-E08C71312746}" name="VOLTAGE" dataDxfId="464"/>
    <tableColumn id="6" xr3:uid="{C85F9A06-2B32-4FD6-A68A-6DB19D9DDA5E}" name="POWER (kW)" dataDxfId="463">
      <calculatedColumnFormula>Table1511[[#This Row],[NO. OF ESTABLISHMENTS]]*Table1511[[#This Row],[ESTIMATED AVERAGE AMPACITY]]*Table1511[[#This Row],[VOLTAGE]]/1000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1911D0-D992-4217-8DC4-C27CBEE8DE4E}" name="Table1612" displayName="Table1612" ref="A70:F73" totalsRowShown="0" headerRowDxfId="462" dataDxfId="461">
  <autoFilter ref="A70:F73" xr:uid="{841911D0-D992-4217-8DC4-C27CBEE8DE4E}"/>
  <tableColumns count="6">
    <tableColumn id="1" xr3:uid="{FDCC5065-395C-418E-976F-4766E5CD5F34}" name="LOAD" dataDxfId="460"/>
    <tableColumn id="2" xr3:uid="{113A4683-3FDB-4092-80C7-ED80D3F0722F}" name="NO. OF ESTABLISHMENTS" dataDxfId="459"/>
    <tableColumn id="3" xr3:uid="{0FD26803-DFF3-4784-B68A-B8DAD6434281}" name="ESTIMATED AVERAGE AMPACITY" dataDxfId="458"/>
    <tableColumn id="4" xr3:uid="{9404FE6B-005C-4ABC-A01C-66A6E2D2240B}" name="NUMBER OF PHASE" dataDxfId="457"/>
    <tableColumn id="5" xr3:uid="{8B668351-D606-4BA9-A7E9-1EC3990D8E26}" name="VOLTAGE" dataDxfId="456"/>
    <tableColumn id="6" xr3:uid="{1BBECC4C-C7F2-4FC5-ACE5-46F31EFE8FCA}" name="POWER (kW)" dataDxfId="455">
      <calculatedColumnFormula>Table1612[[#This Row],[NO. OF ESTABLISHMENTS]]*Table1612[[#This Row],[ESTIMATED AVERAGE AMPACITY]]*Table1612[[#This Row],[VOLTAGE]]/1000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DFDDFBA-330C-4C60-B62B-F3785E07DF34}" name="Table1713" displayName="Table1713" ref="A78:F81" totalsRowShown="0" headerRowDxfId="454" dataDxfId="453">
  <autoFilter ref="A78:F81" xr:uid="{0DFDDFBA-330C-4C60-B62B-F3785E07DF34}"/>
  <tableColumns count="6">
    <tableColumn id="1" xr3:uid="{4CB92D42-4C80-4B94-A246-22FF64CD6328}" name="LOAD" dataDxfId="452"/>
    <tableColumn id="2" xr3:uid="{072ED623-DA88-4492-868E-E1976C450872}" name="NO. OF ESTABLISHMENTS" dataDxfId="451"/>
    <tableColumn id="3" xr3:uid="{DB1CF267-3BA5-47EE-B89A-78E66D5E70AE}" name="ESTIMATED AVERAGE AMPACITY" dataDxfId="450"/>
    <tableColumn id="4" xr3:uid="{81BBFEF7-CA8F-42E2-8392-DF6D286D802A}" name="NUMBER OF PHASE" dataDxfId="449"/>
    <tableColumn id="5" xr3:uid="{E6B6A1C1-7197-433F-A52B-3CAF5F607918}" name="VOLTAGE" dataDxfId="448"/>
    <tableColumn id="6" xr3:uid="{CA222370-FD22-4872-B9DD-377C5C07CB3B}" name="POWER (kW)" dataDxfId="447">
      <calculatedColumnFormula>Table1713[[#This Row],[NO. OF ESTABLISHMENTS]]*Table1713[[#This Row],[ESTIMATED AVERAGE AMPACITY]]*Table1713[[#This Row],[VOLTAGE]]/1000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6A553-6001-4E24-B33F-52040464FAE0}" name="Table15814" displayName="Table15814" ref="A86:F89" totalsRowShown="0" headerRowDxfId="446" dataDxfId="445">
  <autoFilter ref="A86:F89" xr:uid="{61F6A553-6001-4E24-B33F-52040464FAE0}"/>
  <tableColumns count="6">
    <tableColumn id="1" xr3:uid="{1D3CD255-4552-4BD7-AA45-E7DF637F9774}" name="LOAD" dataDxfId="444"/>
    <tableColumn id="2" xr3:uid="{1089A549-80F0-42A8-A7EF-D997A9822EE1}" name="NO. OF ESTABLISHMENTS" dataDxfId="443"/>
    <tableColumn id="3" xr3:uid="{4357D771-A7CA-4247-9432-966A6DB9706C}" name="ESTIMATED AVERAGE AMPACITY" dataDxfId="442"/>
    <tableColumn id="4" xr3:uid="{A1EDE751-3326-4007-B345-069D9B4EFA7B}" name="NUMBER OF PHASE" dataDxfId="441"/>
    <tableColumn id="5" xr3:uid="{3406BD05-FB38-4558-9156-4554EA54A10E}" name="VOLTAGE" dataDxfId="440"/>
    <tableColumn id="6" xr3:uid="{A8AF46AB-6A34-4C4A-B84B-159889DC044B}" name="POWER (kW)" dataDxfId="439">
      <calculatedColumnFormula>Table15814[[#This Row],[NO. OF ESTABLISHMENTS]]*Table15814[[#This Row],[ESTIMATED AVERAGE AMPACITY]]*Table15814[[#This Row],[VOLTAGE]]/1000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205894F-2E57-4ABF-B248-65CA46CCC5C4}" name="Table16915" displayName="Table16915" ref="A94:F97" totalsRowShown="0" headerRowDxfId="438" dataDxfId="437">
  <autoFilter ref="A94:F97" xr:uid="{2205894F-2E57-4ABF-B248-65CA46CCC5C4}"/>
  <tableColumns count="6">
    <tableColumn id="1" xr3:uid="{DD6DF26E-F34E-41B6-BFB5-AD3550472842}" name="LOAD" dataDxfId="436"/>
    <tableColumn id="2" xr3:uid="{D2CC0E0A-0EA5-4201-A454-40CE42168EF0}" name="NO. OF ESTABLISHMENTS" dataDxfId="435"/>
    <tableColumn id="3" xr3:uid="{7384C0C0-0EC7-46F1-A6A0-387A2FEEE4A5}" name="ESTIMATED AVERAGE AMPACITY" dataDxfId="434"/>
    <tableColumn id="4" xr3:uid="{AF4992F5-D3E7-4FD1-A6BE-82166CB34A20}" name="NUMBER OF PHASE" dataDxfId="433"/>
    <tableColumn id="5" xr3:uid="{40509CA9-C8F7-4A1D-88AF-1EC6C93C0C68}" name="VOLTAGE" dataDxfId="432"/>
    <tableColumn id="6" xr3:uid="{3A5157ED-9E8D-4311-9564-0CB6702D2E77}" name="POWER (kW)" dataDxfId="431">
      <calculatedColumnFormula>Table16915[[#This Row],[NO. OF ESTABLISHMENTS]]*Table16915[[#This Row],[ESTIMATED AVERAGE AMPACITY]]*Table16915[[#This Row],[VOLTAGE]]/1000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249FECA-352B-4750-83FC-1DC589D900B0}" name="Table116" displayName="Table116" ref="A102:F105" totalsRowShown="0" headerRowDxfId="430" dataDxfId="429">
  <autoFilter ref="A102:F105" xr:uid="{0249FECA-352B-4750-83FC-1DC589D900B0}"/>
  <tableColumns count="6">
    <tableColumn id="1" xr3:uid="{110BB944-DD26-4D82-9B50-3DC51E2DAB8C}" name="LOAD" dataDxfId="428"/>
    <tableColumn id="2" xr3:uid="{D1680689-9FCE-45D5-A2CA-64EB1280374D}" name="NO. OF ESTABLISHMENTS" dataDxfId="427"/>
    <tableColumn id="3" xr3:uid="{07A1F5EF-D38B-4659-9410-50044DE9C431}" name="ESTIMATED AVERAGE AMPACITY" dataDxfId="426"/>
    <tableColumn id="4" xr3:uid="{D66CF23A-0C03-4AB7-857D-547963E17BA3}" name="NUMBER OF PHASE" dataDxfId="425"/>
    <tableColumn id="5" xr3:uid="{1BE5883B-AA76-499B-88EA-82228C7FD279}" name="VOLTAGE" dataDxfId="424"/>
    <tableColumn id="6" xr3:uid="{6515824F-1705-4823-9B99-A34BB2E5F694}" name="POWER (kW)" dataDxfId="423">
      <calculatedColumnFormula>Table116[[#This Row],[NO. OF ESTABLISHMENTS]]*Table116[[#This Row],[ESTIMATED AVERAGE AMPACITY]]*Table116[[#This Row],[VOLTAGE]]/1000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1AD0AD1-1106-42F1-A939-6115E987FFD1}" name="Table1517" displayName="Table1517" ref="A110:F113" totalsRowShown="0" headerRowDxfId="422" dataDxfId="421">
  <autoFilter ref="A110:F113" xr:uid="{21AD0AD1-1106-42F1-A939-6115E987FFD1}"/>
  <tableColumns count="6">
    <tableColumn id="1" xr3:uid="{59C64833-1A0D-42B0-9613-54DF0522150B}" name="LOAD" dataDxfId="420"/>
    <tableColumn id="2" xr3:uid="{0BBC4CA0-0AE4-400B-B3BC-93960CF6445C}" name="NO. OF ESTABLISHMENTS" dataDxfId="419"/>
    <tableColumn id="3" xr3:uid="{866EB487-AD6A-443C-AE26-5AD2964E7552}" name="ESTIMATED AVERAGE AMPACITY" dataDxfId="418"/>
    <tableColumn id="4" xr3:uid="{1E35DBF9-93FA-497C-8179-CB39861CC094}" name="NUMBER OF PHASE" dataDxfId="417"/>
    <tableColumn id="5" xr3:uid="{F0D35887-6445-4616-91AA-AD955DC93FC7}" name="VOLTAGE" dataDxfId="416"/>
    <tableColumn id="6" xr3:uid="{13C0F507-F1D7-42D0-A16C-D4710A648445}" name="POWER (kW)" dataDxfId="415">
      <calculatedColumnFormula>Table1517[[#This Row],[NO. OF ESTABLISHMENTS]]*Table1517[[#This Row],[ESTIMATED AVERAGE AMPACITY]]*Table1517[[#This Row],[VOLTAGE]]/1000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D37FA11-3488-4D2C-83E5-3EB4C400B5D3}" name="Table1618" displayName="Table1618" ref="A118:F121" totalsRowShown="0" headerRowDxfId="414" dataDxfId="413">
  <autoFilter ref="A118:F121" xr:uid="{1D37FA11-3488-4D2C-83E5-3EB4C400B5D3}"/>
  <tableColumns count="6">
    <tableColumn id="1" xr3:uid="{D507134A-4F5D-4A98-B563-FC21AC8563D8}" name="LOAD" dataDxfId="412"/>
    <tableColumn id="2" xr3:uid="{38E14C05-CCC5-4C15-AE18-33B7265BFEB5}" name="NO. OF ESTABLISHMENTS" dataDxfId="411"/>
    <tableColumn id="3" xr3:uid="{EA0CFBB0-4C9A-4DEA-9B3C-B94E039BAA67}" name="ESTIMATED AVERAGE AMPACITY" dataDxfId="410"/>
    <tableColumn id="4" xr3:uid="{3101EE48-D8B4-41D8-AC83-23E3084BB092}" name="NUMBER OF PHASE" dataDxfId="409"/>
    <tableColumn id="5" xr3:uid="{C68EA159-D3C3-4A13-934C-4526C16EFE48}" name="VOLTAGE" dataDxfId="408"/>
    <tableColumn id="6" xr3:uid="{098F1C6D-48E5-4460-A7F1-346B2538A55C}" name="POWER (kW)" dataDxfId="407">
      <calculatedColumnFormula>Table1618[[#This Row],[NO. OF ESTABLISHMENTS]]*Table1618[[#This Row],[ESTIMATED AVERAGE AMPACITY]]*Table1618[[#This Row],[VOLTAGE]]/1000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957F420-B1FA-4C37-8F12-5584A468B050}" name="Table1719" displayName="Table1719" ref="A126:F129" totalsRowShown="0" headerRowDxfId="406" dataDxfId="405">
  <autoFilter ref="A126:F129" xr:uid="{7957F420-B1FA-4C37-8F12-5584A468B050}"/>
  <tableColumns count="6">
    <tableColumn id="1" xr3:uid="{2C1D5F87-D731-4129-B04B-160B2CEA7BBD}" name="LOAD" dataDxfId="404"/>
    <tableColumn id="2" xr3:uid="{C270C4B3-408F-4996-A142-5AAEE2444B9F}" name="NO. OF ESTABLISHMENTS" dataDxfId="403"/>
    <tableColumn id="3" xr3:uid="{A98DB10E-F0D8-40E2-8F4A-F4E0D3466161}" name="ESTIMATED AVERAGE AMPACITY" dataDxfId="402"/>
    <tableColumn id="4" xr3:uid="{C4A162F9-2552-47CA-B6C9-69EDE53B7605}" name="NUMBER OF PHASE" dataDxfId="401"/>
    <tableColumn id="5" xr3:uid="{B9901518-D6AA-4623-A606-04D1C4032F35}" name="VOLTAGE" dataDxfId="400"/>
    <tableColumn id="6" xr3:uid="{15186F52-E4EE-4B9B-B342-262C7B565568}" name="POWER (kW)" dataDxfId="399">
      <calculatedColumnFormula>Table1719[[#This Row],[NO. OF ESTABLISHMENTS]]*Table1719[[#This Row],[ESTIMATED AVERAGE AMPACITY]]*Table1719[[#This Row],[VOLTAGE]]/1000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C3841EA-9D0B-42DF-8C0B-F8574DC62680}" name="Table15820" displayName="Table15820" ref="A134:F137" totalsRowShown="0" headerRowDxfId="398" dataDxfId="397">
  <autoFilter ref="A134:F137" xr:uid="{4C3841EA-9D0B-42DF-8C0B-F8574DC62680}"/>
  <tableColumns count="6">
    <tableColumn id="1" xr3:uid="{22109FBB-F5FC-434F-B07A-754F997D88BA}" name="LOAD" dataDxfId="396"/>
    <tableColumn id="2" xr3:uid="{72BFA5F8-7C69-4F9F-AFE2-FC8CF807A4FE}" name="NO. OF ESTABLISHMENTS" dataDxfId="395"/>
    <tableColumn id="3" xr3:uid="{7B55F5BF-3074-4BD0-9760-4232D4EC5077}" name="ESTIMATED AVERAGE AMPACITY" dataDxfId="394"/>
    <tableColumn id="4" xr3:uid="{51A5F515-18A0-448E-951C-734BE2E2B3E6}" name="NUMBER OF PHASE" dataDxfId="393"/>
    <tableColumn id="5" xr3:uid="{EBDE86F5-90A2-44D0-921F-0CA76341FC73}" name="VOLTAGE" dataDxfId="392"/>
    <tableColumn id="6" xr3:uid="{AE4A2339-E139-4400-9D66-CE2ED17EE566}" name="POWER (kW)" dataDxfId="391">
      <calculatedColumnFormula>Table15820[[#This Row],[NO. OF ESTABLISHMENTS]]*Table15820[[#This Row],[ESTIMATED AVERAGE AMPACITY]]*Table15820[[#This Row],[VOLTAGE]]/1000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21F3ED9-965A-4E7A-B541-B96AD25C8EDC}" name="Table16921" displayName="Table16921" ref="A142:F145" totalsRowShown="0" headerRowDxfId="390" dataDxfId="389">
  <autoFilter ref="A142:F145" xr:uid="{221F3ED9-965A-4E7A-B541-B96AD25C8EDC}"/>
  <tableColumns count="6">
    <tableColumn id="1" xr3:uid="{C2A988E6-C2DD-4DA5-86DC-13A1121929DE}" name="LOAD" dataDxfId="388"/>
    <tableColumn id="2" xr3:uid="{4C3F0779-612F-4949-BE4E-AD24BFD06794}" name="NO. OF ESTABLISHMENTS" dataDxfId="387"/>
    <tableColumn id="3" xr3:uid="{3CD89210-94F6-466C-87A1-61FB4F63C704}" name="ESTIMATED AVERAGE AMPACITY" dataDxfId="386"/>
    <tableColumn id="4" xr3:uid="{F63A1C55-795F-438A-8B08-0847492CA0F5}" name="NUMBER OF PHASE" dataDxfId="385"/>
    <tableColumn id="5" xr3:uid="{8D6E7CC8-70C6-4827-B5C7-1D398FEFBAFD}" name="VOLTAGE" dataDxfId="384"/>
    <tableColumn id="6" xr3:uid="{278B9DBC-B155-4FE8-A399-4D36DFC34A08}" name="POWER (kW)" dataDxfId="383">
      <calculatedColumnFormula>Table16921[[#This Row],[NO. OF ESTABLISHMENTS]]*Table16921[[#This Row],[ESTIMATED AVERAGE AMPACITY]]*Table16921[[#This Row],[VOLTAGE]]/1000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F482EF6-8A82-4ECF-AB20-977F09A0CEE0}" name="Table122" displayName="Table122" ref="A4:F7" totalsRowShown="0" headerRowDxfId="382" dataDxfId="381">
  <autoFilter ref="A4:F7" xr:uid="{1F482EF6-8A82-4ECF-AB20-977F09A0CEE0}"/>
  <tableColumns count="6">
    <tableColumn id="1" xr3:uid="{B61E8DC2-8A7B-4497-AC7A-AA645BAF7CFD}" name="LOAD" dataDxfId="380"/>
    <tableColumn id="2" xr3:uid="{43D1A21B-5B5E-43B7-BC79-336B67A77C28}" name="NO. OF ESTABLISHMENTS" dataDxfId="379"/>
    <tableColumn id="3" xr3:uid="{DA75E47F-E679-4F14-B3DD-457D19575D6E}" name="ESTIMATED AVERAGE AMPACITY" dataDxfId="378"/>
    <tableColumn id="4" xr3:uid="{60D8F2F4-9A01-4DDB-81ED-CD0A53F23417}" name="NUMBER OF PHASE" dataDxfId="377"/>
    <tableColumn id="5" xr3:uid="{315C30B9-2EE4-48ED-BE01-AF60BA032DA9}" name="VOLTAGE" dataDxfId="376"/>
    <tableColumn id="6" xr3:uid="{5A7B1FCC-9172-4133-ABE5-2F21A67C4840}" name="POWER (kW)" dataDxfId="37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74A906E-A0B5-4C84-8101-5477EB933960}" name="Table1523" displayName="Table1523" ref="A12:F15" totalsRowShown="0" headerRowDxfId="374" dataDxfId="373">
  <autoFilter ref="A12:F15" xr:uid="{D74A906E-A0B5-4C84-8101-5477EB933960}"/>
  <tableColumns count="6">
    <tableColumn id="1" xr3:uid="{46DB92A9-0C42-4EDB-8F89-E26656A3A8D4}" name="LOAD" dataDxfId="372"/>
    <tableColumn id="2" xr3:uid="{A3B19695-90EC-43CB-AC4F-17DBA43C1CE2}" name="NO. OF ESTABLISHMENTS" dataDxfId="371"/>
    <tableColumn id="3" xr3:uid="{3F30596E-6B6D-442E-8F2F-FC0E5B010F49}" name="ESTIMATED AVERAGE AMPACITY" dataDxfId="370"/>
    <tableColumn id="4" xr3:uid="{7B3F9573-F31F-4CD1-B137-E487B53D2A52}" name="NUMBER OF PHASE" dataDxfId="369"/>
    <tableColumn id="5" xr3:uid="{6715B9B3-9327-4BAA-B0AC-DA3FA2A3F0BE}" name="VOLTAGE" dataDxfId="368"/>
    <tableColumn id="6" xr3:uid="{60CE04AB-3912-43F7-82A4-2B35D785CDB5}" name="POWER (kW)" dataDxfId="36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7B42AE9-6513-4CBC-B505-65F85978DA54}" name="Table1624" displayName="Table1624" ref="A20:F23" totalsRowShown="0" headerRowDxfId="366" dataDxfId="365">
  <autoFilter ref="A20:F23" xr:uid="{A7B42AE9-6513-4CBC-B505-65F85978DA54}"/>
  <tableColumns count="6">
    <tableColumn id="1" xr3:uid="{87494E87-EC7E-4B65-A3F2-04A3B9744351}" name="LOAD" dataDxfId="364"/>
    <tableColumn id="2" xr3:uid="{BD6CE495-384C-4F93-9BBC-8A2B066934F3}" name="NO. OF ESTABLISHMENTS" dataDxfId="363"/>
    <tableColumn id="3" xr3:uid="{3E1F55A7-3DE3-4D66-B533-5BFDAF2F3CF8}" name="ESTIMATED AVERAGE AMPACITY" dataDxfId="362"/>
    <tableColumn id="4" xr3:uid="{0B1F2CBA-27A5-4021-90EC-DECC847BACD5}" name="NUMBER OF PHASE" dataDxfId="361"/>
    <tableColumn id="5" xr3:uid="{999D61D0-A733-45FC-915B-1776A4779A44}" name="VOLTAGE" dataDxfId="360"/>
    <tableColumn id="6" xr3:uid="{A7D87DE6-D77A-452B-BF31-9D599AD7700E}" name="POWER (kW)" dataDxfId="35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35D804A-C5EE-49B1-8032-A0A66A584003}" name="Table1725" displayName="Table1725" ref="A28:F31" totalsRowShown="0" headerRowDxfId="358" dataDxfId="357">
  <autoFilter ref="A28:F31" xr:uid="{135D804A-C5EE-49B1-8032-A0A66A584003}"/>
  <tableColumns count="6">
    <tableColumn id="1" xr3:uid="{5C95A98D-0469-4B83-A7AD-8C27B28BC3C0}" name="LOAD" dataDxfId="356"/>
    <tableColumn id="2" xr3:uid="{46573BBA-43D5-47B1-A9F8-0A4752DDBF3E}" name="NO. OF ESTABLISHMENTS" dataDxfId="355"/>
    <tableColumn id="3" xr3:uid="{F54C6F77-00F8-4D54-A33A-BC7BBC4765D3}" name="ESTIMATED AVERAGE AMPACITY" dataDxfId="354"/>
    <tableColumn id="4" xr3:uid="{BED99AA3-FA85-4F9E-B1A1-27CE12831EA9}" name="NUMBER OF PHASE" dataDxfId="353"/>
    <tableColumn id="5" xr3:uid="{9501CE09-E401-4EB7-BBCA-DD305A29C91C}" name="VOLTAGE" dataDxfId="352"/>
    <tableColumn id="6" xr3:uid="{59C7AF64-A4F8-428E-B45E-B05B3896E8B6}" name="POWER (kW)" dataDxfId="35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C0CDAEF-21E9-42E3-A35C-EC882D8D86D4}" name="Table15826" displayName="Table15826" ref="A36:F39" totalsRowShown="0" headerRowDxfId="350" dataDxfId="349">
  <autoFilter ref="A36:F39" xr:uid="{1C0CDAEF-21E9-42E3-A35C-EC882D8D86D4}"/>
  <tableColumns count="6">
    <tableColumn id="1" xr3:uid="{9C8D8D4D-842B-4CE1-9310-4D5F71D02BE8}" name="LOAD" dataDxfId="348"/>
    <tableColumn id="2" xr3:uid="{7661FB77-7905-469B-B2D2-BBF59CC54A59}" name="NO. OF ESTABLISHMENTS" dataDxfId="347"/>
    <tableColumn id="3" xr3:uid="{4CF008E1-C0C3-48B9-A214-34AF33B25FC8}" name="ESTIMATED AVERAGE AMPACITY" dataDxfId="346"/>
    <tableColumn id="4" xr3:uid="{AF983D38-AF05-4E43-8E95-C1D49B5D8306}" name="NUMBER OF PHASE" dataDxfId="345"/>
    <tableColumn id="5" xr3:uid="{D99C6D1E-AA43-4E46-82FB-F42D47C6D44B}" name="VOLTAGE" dataDxfId="344"/>
    <tableColumn id="6" xr3:uid="{5442D361-562E-43E0-BA6F-1C984028360F}" name="POWER (kW)" dataDxfId="34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2209F79-965C-4842-A29E-D5D33E94F6A4}" name="Table16927" displayName="Table16927" ref="A44:F47" totalsRowShown="0" headerRowDxfId="342" dataDxfId="341">
  <autoFilter ref="A44:F47" xr:uid="{42209F79-965C-4842-A29E-D5D33E94F6A4}"/>
  <tableColumns count="6">
    <tableColumn id="1" xr3:uid="{69CB5801-37DE-4210-99C2-49968F018758}" name="LOAD" dataDxfId="340"/>
    <tableColumn id="2" xr3:uid="{056CD6C0-EF47-47E4-8E63-DBC973A9698E}" name="NO. OF ESTABLISHMENTS" dataDxfId="339"/>
    <tableColumn id="3" xr3:uid="{7B0B6CA1-B68B-4C92-8294-D77A10AF4FB0}" name="ESTIMATED AVERAGE AMPACITY" dataDxfId="338"/>
    <tableColumn id="4" xr3:uid="{29C4A132-2D8B-4D3E-919C-7694F2C7069A}" name="NUMBER OF PHASE" dataDxfId="337"/>
    <tableColumn id="5" xr3:uid="{40DC3413-6386-4087-AC7A-74BA3F738237}" name="VOLTAGE" dataDxfId="336"/>
    <tableColumn id="6" xr3:uid="{FB1AE490-3346-46FF-ACF4-55DEE517663A}" name="POWER (kW)" dataDxfId="33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B86BA32-BBBD-469D-8880-0E1BB5DDCE52}" name="Table11028" displayName="Table11028" ref="A52:F55" totalsRowShown="0" headerRowDxfId="334" dataDxfId="333">
  <autoFilter ref="A52:F55" xr:uid="{8B86BA32-BBBD-469D-8880-0E1BB5DDCE52}"/>
  <tableColumns count="6">
    <tableColumn id="1" xr3:uid="{B54B8998-C814-4F19-9FA6-85720D1A5FC7}" name="LOAD" dataDxfId="332"/>
    <tableColumn id="2" xr3:uid="{496F8A3C-AA39-4090-93AD-F9695E691A65}" name="NO. OF ESTABLISHMENTS" dataDxfId="331"/>
    <tableColumn id="3" xr3:uid="{CE074B93-60C2-4BC9-AF78-BE3F592E8BAB}" name="ESTIMATED AVERAGE AMPACITY" dataDxfId="330"/>
    <tableColumn id="4" xr3:uid="{199B934C-DF34-4175-A9BC-4EF27B88D577}" name="NUMBER OF PHASE" dataDxfId="329"/>
    <tableColumn id="5" xr3:uid="{B4BCA2F3-54F1-4F81-95D3-985D3945C1DE}" name="VOLTAGE" dataDxfId="328"/>
    <tableColumn id="6" xr3:uid="{05DC213B-84D9-42A0-BC11-25C9C741A9CE}" name="POWER (kW)" dataDxfId="32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6333AB8-5848-4EDF-8478-9EFDB8BE0BBC}" name="Table151129" displayName="Table151129" ref="A60:F63" totalsRowShown="0" headerRowDxfId="326" dataDxfId="325">
  <autoFilter ref="A60:F63" xr:uid="{16333AB8-5848-4EDF-8478-9EFDB8BE0BBC}"/>
  <tableColumns count="6">
    <tableColumn id="1" xr3:uid="{B417F4F6-BE70-469F-907C-FA4133521487}" name="LOAD" dataDxfId="324"/>
    <tableColumn id="2" xr3:uid="{9856B97B-B246-40D1-850B-A1DE97065243}" name="NO. OF ESTABLISHMENTS" dataDxfId="323"/>
    <tableColumn id="3" xr3:uid="{97BA4309-1A5C-47D0-907F-5CB72950C367}" name="ESTIMATED AVERAGE AMPACITY" dataDxfId="322"/>
    <tableColumn id="4" xr3:uid="{BCAFABA4-3611-4184-9F79-08F9AB987A76}" name="NUMBER OF PHASE" dataDxfId="321"/>
    <tableColumn id="5" xr3:uid="{3B3C397C-9970-4613-9709-3EC05A266744}" name="VOLTAGE" dataDxfId="320"/>
    <tableColumn id="6" xr3:uid="{639F3281-42E2-4090-9DAA-6D23BA93F436}" name="POWER (kW)" dataDxfId="31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C537F88-680C-4A97-AF4D-970F393D7D40}" name="Table161230" displayName="Table161230" ref="A68:F71" totalsRowShown="0" headerRowDxfId="318" dataDxfId="317">
  <autoFilter ref="A68:F71" xr:uid="{AC537F88-680C-4A97-AF4D-970F393D7D40}"/>
  <tableColumns count="6">
    <tableColumn id="1" xr3:uid="{AC22FE13-8249-4BA1-8FE9-901B197C3B22}" name="LOAD" dataDxfId="316"/>
    <tableColumn id="2" xr3:uid="{2A673F72-7085-4A0B-80F4-FB0623CDF642}" name="NO. OF ESTABLISHMENTS" dataDxfId="315"/>
    <tableColumn id="3" xr3:uid="{302B23F7-CD98-4A37-A76C-8839FF2B64A7}" name="ESTIMATED AVERAGE AMPACITY" dataDxfId="314"/>
    <tableColumn id="4" xr3:uid="{B741190F-486E-4407-96FB-4831DD2CF768}" name="NUMBER OF PHASE" dataDxfId="313"/>
    <tableColumn id="5" xr3:uid="{F6AE5D36-958C-4605-995F-8273A8DEFF62}" name="VOLTAGE" dataDxfId="312"/>
    <tableColumn id="6" xr3:uid="{FA27DC7E-B218-4192-B1F7-7E8565A11F92}" name="POWER (kW)" dataDxfId="31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BDF2EBC-C597-4FB5-BAC0-927BE7AF6A4C}" name="Table171331" displayName="Table171331" ref="A76:F79" totalsRowShown="0" headerRowDxfId="310" dataDxfId="309">
  <autoFilter ref="A76:F79" xr:uid="{4BDF2EBC-C597-4FB5-BAC0-927BE7AF6A4C}"/>
  <tableColumns count="6">
    <tableColumn id="1" xr3:uid="{E8FB3FFA-8D40-4605-AF22-F97E6D97C000}" name="LOAD" dataDxfId="308"/>
    <tableColumn id="2" xr3:uid="{643457F1-FC17-4FB1-B34D-E0034C7676CF}" name="NO. OF ESTABLISHMENTS" dataDxfId="307"/>
    <tableColumn id="3" xr3:uid="{E244C4B8-B6D9-424B-89F2-8D1F4AC9F599}" name="ESTIMATED AVERAGE AMPACITY" dataDxfId="306"/>
    <tableColumn id="4" xr3:uid="{36EC8FE0-E6B3-4AA6-9781-F8930DE69481}" name="NUMBER OF PHASE" dataDxfId="305"/>
    <tableColumn id="5" xr3:uid="{09373BB7-5F38-4851-899E-B3950776C842}" name="VOLTAGE" dataDxfId="304"/>
    <tableColumn id="6" xr3:uid="{B04C0B58-F657-4FC4-BABE-077EA61FEC6C}" name="POWER (kW)" dataDxfId="30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3C36F49-706B-4FDF-B87F-F88BED78E4EB}" name="Table1581432" displayName="Table1581432" ref="A84:F87" totalsRowShown="0" headerRowDxfId="302" dataDxfId="301">
  <autoFilter ref="A84:F87" xr:uid="{23C36F49-706B-4FDF-B87F-F88BED78E4EB}"/>
  <tableColumns count="6">
    <tableColumn id="1" xr3:uid="{EDD2BC4A-FCA1-4E82-80F2-7CAE2FA08DAB}" name="LOAD" dataDxfId="300"/>
    <tableColumn id="2" xr3:uid="{C10E7340-6119-4324-8DAC-C9DC6DE261C4}" name="NO. OF ESTABLISHMENTS" dataDxfId="299"/>
    <tableColumn id="3" xr3:uid="{F688EA4C-4E09-4662-875F-BEC43CA3EDC3}" name="ESTIMATED AVERAGE AMPACITY" dataDxfId="298"/>
    <tableColumn id="4" xr3:uid="{53CDF29B-6322-43F5-95D7-BA1D952345AE}" name="NUMBER OF PHASE" dataDxfId="297"/>
    <tableColumn id="5" xr3:uid="{8329CBA6-99A8-4720-A467-2354BF1FB960}" name="VOLTAGE" dataDxfId="296"/>
    <tableColumn id="6" xr3:uid="{3157ECAC-01B7-43D7-A25E-C6949F69375C}" name="POWER (kW)" dataDxfId="295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3B65C84-FD0A-41F4-BFE6-F1705A6D0350}" name="Table1691533" displayName="Table1691533" ref="A92:F95" totalsRowShown="0" headerRowDxfId="294" dataDxfId="293">
  <autoFilter ref="A92:F95" xr:uid="{23B65C84-FD0A-41F4-BFE6-F1705A6D0350}"/>
  <tableColumns count="6">
    <tableColumn id="1" xr3:uid="{C74084F0-0D1F-4706-A43D-29D132DF48C0}" name="LOAD" dataDxfId="292"/>
    <tableColumn id="2" xr3:uid="{8172D9F0-364E-4813-850C-25C0FBCCD066}" name="NO. OF ESTABLISHMENTS" dataDxfId="291"/>
    <tableColumn id="3" xr3:uid="{31DDD360-8138-472F-9542-C66E3D59C71C}" name="ESTIMATED AVERAGE AMPACITY" dataDxfId="290"/>
    <tableColumn id="4" xr3:uid="{3957A520-F41E-4AD4-B400-468905DEA9A7}" name="NUMBER OF PHASE" dataDxfId="289"/>
    <tableColumn id="5" xr3:uid="{DA3AD9AB-D109-4A9F-996E-120DFD186BCB}" name="VOLTAGE" dataDxfId="288"/>
    <tableColumn id="6" xr3:uid="{AE2D6CEC-1525-4D7E-82C4-51AFD9EDA334}" name="POWER (kW)" dataDxfId="28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E85C7E2-F233-43B5-B311-8A6530642C92}" name="Table11634" displayName="Table11634" ref="A100:F103" totalsRowShown="0" headerRowDxfId="286" dataDxfId="285">
  <autoFilter ref="A100:F103" xr:uid="{7E85C7E2-F233-43B5-B311-8A6530642C92}"/>
  <tableColumns count="6">
    <tableColumn id="1" xr3:uid="{CF08C0CB-1BB5-46FF-B4C4-82B88C3294F6}" name="LOAD" dataDxfId="284"/>
    <tableColumn id="2" xr3:uid="{751ABF9C-50B2-48E0-89F4-6CF3479C4D20}" name="NO. OF ESTABLISHMENTS" dataDxfId="283"/>
    <tableColumn id="3" xr3:uid="{6CD97781-A201-40A3-B4AB-2863C0767921}" name="ESTIMATED AVERAGE AMPACITY" dataDxfId="282"/>
    <tableColumn id="4" xr3:uid="{399BE4A4-6AC9-44B0-8428-B74930C3696C}" name="NUMBER OF PHASE" dataDxfId="281"/>
    <tableColumn id="5" xr3:uid="{F9F7F7DA-67BC-409A-AA32-C0B84FBC596F}" name="VOLTAGE" dataDxfId="280"/>
    <tableColumn id="6" xr3:uid="{D59ADEF8-E022-4B17-9363-B11A45276741}" name="POWER (kW)" dataDxfId="279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A50CEA0-BFA0-428A-99B9-1CC92BFB1BDE}" name="Table151735" displayName="Table151735" ref="A108:F111" totalsRowShown="0" headerRowDxfId="278" dataDxfId="277">
  <autoFilter ref="A108:F111" xr:uid="{3A50CEA0-BFA0-428A-99B9-1CC92BFB1BDE}"/>
  <tableColumns count="6">
    <tableColumn id="1" xr3:uid="{C660F393-0938-4B00-A2B7-800F572BF9F3}" name="LOAD" dataDxfId="276"/>
    <tableColumn id="2" xr3:uid="{603ACFAB-C308-4850-B4A0-927B9EEDE5CC}" name="NO. OF ESTABLISHMENTS" dataDxfId="275"/>
    <tableColumn id="3" xr3:uid="{2F2E27EC-C69A-4CDC-8595-51953614D3B3}" name="ESTIMATED AVERAGE AMPACITY" dataDxfId="274"/>
    <tableColumn id="4" xr3:uid="{A9863B75-CB81-4203-AFB0-1C2074345D1D}" name="NUMBER OF PHASE" dataDxfId="273"/>
    <tableColumn id="5" xr3:uid="{BFAFB913-5336-4852-968D-CE0C19966544}" name="VOLTAGE" dataDxfId="272"/>
    <tableColumn id="6" xr3:uid="{269ED0EF-77B8-4BC4-939B-E4E496BBE4B1}" name="POWER (kW)" dataDxfId="27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BF3F522-CD3F-45B8-B516-A3784587F995}" name="Table161836" displayName="Table161836" ref="A116:F119" totalsRowShown="0" headerRowDxfId="270" dataDxfId="269">
  <autoFilter ref="A116:F119" xr:uid="{0BF3F522-CD3F-45B8-B516-A3784587F995}"/>
  <tableColumns count="6">
    <tableColumn id="1" xr3:uid="{45A34FA5-8DA0-4906-AA86-1D5C8D32D6B6}" name="LOAD" dataDxfId="268"/>
    <tableColumn id="2" xr3:uid="{FC2D64F5-8993-4038-A2BC-C3CBF9CCB680}" name="NO. OF ESTABLISHMENTS" dataDxfId="267"/>
    <tableColumn id="3" xr3:uid="{98084496-6EAC-442F-B0E7-E5760A6DE88D}" name="ESTIMATED AVERAGE AMPACITY" dataDxfId="266"/>
    <tableColumn id="4" xr3:uid="{1486E4B3-186B-4DDA-8A09-8A64F0F9418F}" name="NUMBER OF PHASE" dataDxfId="265"/>
    <tableColumn id="5" xr3:uid="{A2E5F368-569E-4022-A9D5-95975B342613}" name="VOLTAGE" dataDxfId="264"/>
    <tableColumn id="6" xr3:uid="{6ED54D76-7414-4EED-8D6E-79E088D44A61}" name="POWER (kW)" dataDxfId="26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5B51F1C9-581B-467B-AF36-94A37E2A2D78}" name="Table122110" displayName="Table122110" ref="A4:F7" totalsRowShown="0" headerRowDxfId="262" dataDxfId="261">
  <autoFilter ref="A4:F7" xr:uid="{5B51F1C9-581B-467B-AF36-94A37E2A2D78}"/>
  <tableColumns count="6">
    <tableColumn id="1" xr3:uid="{96985CEA-4562-4B92-B573-2F99FCF5EAB8}" name="LOAD" dataDxfId="260"/>
    <tableColumn id="2" xr3:uid="{173F3682-F229-4DE5-83E0-BC226000FC6A}" name="NO. OF ESTABLISHMENTS" dataDxfId="259"/>
    <tableColumn id="3" xr3:uid="{156FC2A1-25DF-4030-A8D5-4DE682AD0284}" name="ESTIMATED AVERAGE AMPACITY" dataDxfId="258"/>
    <tableColumn id="4" xr3:uid="{3EB1B6FE-72F8-4EED-B18C-FFBE1E1D1CC9}" name="NUMBER OF PHASE" dataDxfId="257"/>
    <tableColumn id="5" xr3:uid="{AD1B8B04-9D0D-4E56-87F7-508420E7A1A9}" name="VOLTAGE" dataDxfId="256"/>
    <tableColumn id="6" xr3:uid="{C11038E6-6E27-4AE4-81A3-BC11EB273294}" name="POWER (kW)" dataDxfId="255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9ECE25A0-DD91-4864-B4DD-DDF04B649989}" name="Table1523111" displayName="Table1523111" ref="A12:F15" totalsRowShown="0" headerRowDxfId="254" dataDxfId="253">
  <autoFilter ref="A12:F15" xr:uid="{9ECE25A0-DD91-4864-B4DD-DDF04B649989}"/>
  <tableColumns count="6">
    <tableColumn id="1" xr3:uid="{3ACB355D-27A2-48BA-AD7F-6E758D97DF6D}" name="LOAD" dataDxfId="252"/>
    <tableColumn id="2" xr3:uid="{91924BF8-E8C2-4D3C-92AB-3B4B99D688BC}" name="NO. OF ESTABLISHMENTS" dataDxfId="251"/>
    <tableColumn id="3" xr3:uid="{013D427A-6E32-47FC-84AB-FCAE9921B1D8}" name="ESTIMATED AVERAGE AMPACITY" dataDxfId="250"/>
    <tableColumn id="4" xr3:uid="{A0747AD4-8198-466C-9E50-75A789B2B416}" name="NUMBER OF PHASE" dataDxfId="249"/>
    <tableColumn id="5" xr3:uid="{EBF03339-6AA6-4D45-827B-7B786ADA8E74}" name="VOLTAGE" dataDxfId="248"/>
    <tableColumn id="6" xr3:uid="{D7F4F80A-D172-4B41-80AA-BB70BE264C1D}" name="POWER (kW)" dataDxfId="24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B9B8AA67-3AF0-4AF7-A77A-332BEF4F2004}" name="Table1624112" displayName="Table1624112" ref="A20:F23" totalsRowShown="0" headerRowDxfId="246" dataDxfId="245">
  <autoFilter ref="A20:F23" xr:uid="{B9B8AA67-3AF0-4AF7-A77A-332BEF4F2004}"/>
  <tableColumns count="6">
    <tableColumn id="1" xr3:uid="{1AA28588-B542-42DA-9ACF-4DA944695D4F}" name="LOAD" dataDxfId="244"/>
    <tableColumn id="2" xr3:uid="{75719B73-EDC6-42E5-B91F-FF1908BDCD36}" name="NO. OF ESTABLISHMENTS" dataDxfId="243"/>
    <tableColumn id="3" xr3:uid="{28D05391-4F13-448E-B8A6-78DCBFFED270}" name="ESTIMATED AVERAGE AMPACITY" dataDxfId="242"/>
    <tableColumn id="4" xr3:uid="{B3010762-2961-476F-94E7-B6149D22923C}" name="NUMBER OF PHASE" dataDxfId="241"/>
    <tableColumn id="5" xr3:uid="{C505C454-C23D-4C6B-A2F3-A0B74DA09375}" name="VOLTAGE" dataDxfId="240"/>
    <tableColumn id="6" xr3:uid="{A3B01B76-EBB0-44D5-BDDF-E8675B95BAAD}" name="POWER (kW)" dataDxfId="239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B70EC46F-5D6F-4471-9B3D-6E8ED8F63D17}" name="Table1725113" displayName="Table1725113" ref="A28:F31" totalsRowShown="0" headerRowDxfId="238" dataDxfId="237">
  <autoFilter ref="A28:F31" xr:uid="{B70EC46F-5D6F-4471-9B3D-6E8ED8F63D17}"/>
  <tableColumns count="6">
    <tableColumn id="1" xr3:uid="{C8229909-68F8-4FAE-A4D2-8A9A0864A248}" name="LOAD" dataDxfId="236"/>
    <tableColumn id="2" xr3:uid="{5FCADFEF-CD69-4295-94F6-5A3D90BEB9A4}" name="NO. OF ESTABLISHMENTS" dataDxfId="235"/>
    <tableColumn id="3" xr3:uid="{BA36B5E6-4A41-4F61-89B1-F282D6763C09}" name="ESTIMATED AVERAGE AMPACITY" dataDxfId="234"/>
    <tableColumn id="4" xr3:uid="{C4316E5D-EBF7-4A8C-935A-24DE6DF2E405}" name="NUMBER OF PHASE" dataDxfId="233"/>
    <tableColumn id="5" xr3:uid="{C2FD253C-4EC1-4BA6-9CE5-A7AFA84FC257}" name="VOLTAGE" dataDxfId="232"/>
    <tableColumn id="6" xr3:uid="{D09E7769-2E5E-424A-AF91-E25257AB1E2E}" name="POWER (kW)" dataDxfId="231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9722D866-255C-474C-B3D1-2DB5C5877BC4}" name="Table15826114" displayName="Table15826114" ref="A36:F39" totalsRowShown="0" headerRowDxfId="230" dataDxfId="229">
  <autoFilter ref="A36:F39" xr:uid="{9722D866-255C-474C-B3D1-2DB5C5877BC4}"/>
  <tableColumns count="6">
    <tableColumn id="1" xr3:uid="{769C367D-2EDB-42E3-89F3-A65A276B79C9}" name="LOAD" dataDxfId="228"/>
    <tableColumn id="2" xr3:uid="{2355441B-D136-4A9C-9455-241DD17E5B2A}" name="NO. OF ESTABLISHMENTS" dataDxfId="227"/>
    <tableColumn id="3" xr3:uid="{4195A3CD-EA8D-4BD5-8507-26DCD6A8BC15}" name="ESTIMATED AVERAGE AMPACITY" dataDxfId="226"/>
    <tableColumn id="4" xr3:uid="{B555D5BA-DCF3-4E93-B016-0EBB626D45D5}" name="NUMBER OF PHASE" dataDxfId="225"/>
    <tableColumn id="5" xr3:uid="{BF1A8A84-2A8A-4013-9C21-67D76BE9649C}" name="VOLTAGE" dataDxfId="224"/>
    <tableColumn id="6" xr3:uid="{F7C33CED-AFA6-4B83-8427-0BF77D889B7D}" name="POWER (kW)" dataDxfId="22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35803D20-08F5-476E-8CF6-3DDE5B5BA253}" name="Table16927115" displayName="Table16927115" ref="A44:F47" totalsRowShown="0" headerRowDxfId="222" dataDxfId="221">
  <autoFilter ref="A44:F47" xr:uid="{35803D20-08F5-476E-8CF6-3DDE5B5BA253}"/>
  <tableColumns count="6">
    <tableColumn id="1" xr3:uid="{10F4FA90-86EA-4408-BC79-37E2BF163C5E}" name="LOAD" dataDxfId="220"/>
    <tableColumn id="2" xr3:uid="{778DB1AE-6A0D-4EBD-877D-F16CC7A0B44E}" name="NO. OF ESTABLISHMENTS" dataDxfId="219"/>
    <tableColumn id="3" xr3:uid="{997489FF-5157-4492-9722-E5C9FCAC14CF}" name="ESTIMATED AVERAGE AMPACITY" dataDxfId="218"/>
    <tableColumn id="4" xr3:uid="{B8CB91F4-A77F-46B8-8640-115F93D5DC03}" name="NUMBER OF PHASE" dataDxfId="217"/>
    <tableColumn id="5" xr3:uid="{04EAE4F0-505F-4E52-BF48-A92709D74777}" name="VOLTAGE" dataDxfId="216"/>
    <tableColumn id="6" xr3:uid="{7EB758E3-8D78-4E22-A030-7BBF15DC81F2}" name="POWER (kW)" dataDxfId="215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EC1426EC-8158-4B54-BD13-15486096F228}" name="Table11028116" displayName="Table11028116" ref="A52:F55" totalsRowShown="0" headerRowDxfId="214" dataDxfId="213">
  <autoFilter ref="A52:F55" xr:uid="{EC1426EC-8158-4B54-BD13-15486096F228}"/>
  <tableColumns count="6">
    <tableColumn id="1" xr3:uid="{70598FAA-5D5C-4636-967F-2EF12A12B8D8}" name="LOAD" dataDxfId="212"/>
    <tableColumn id="2" xr3:uid="{06B29A51-100F-4CEC-8E28-5C86858AB1F7}" name="NO. OF ESTABLISHMENTS" dataDxfId="211"/>
    <tableColumn id="3" xr3:uid="{69DC600E-86B3-4D12-8C2D-15481F882032}" name="ESTIMATED AVERAGE AMPACITY" dataDxfId="210"/>
    <tableColumn id="4" xr3:uid="{4B91034C-36EE-4AC2-AA65-E68D02109FCE}" name="NUMBER OF PHASE" dataDxfId="209"/>
    <tableColumn id="5" xr3:uid="{33C1B2EE-B09F-4B24-88D6-4A9B27EC22E9}" name="VOLTAGE" dataDxfId="208"/>
    <tableColumn id="6" xr3:uid="{0E733356-A394-4A0C-A4FA-2DB4603E7E12}" name="POWER (kW)" dataDxfId="20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8F05C970-CA8F-43AD-9F95-9CA82CF96EF7}" name="Table151129117" displayName="Table151129117" ref="A60:F63" totalsRowShown="0" headerRowDxfId="206" dataDxfId="205">
  <autoFilter ref="A60:F63" xr:uid="{8F05C970-CA8F-43AD-9F95-9CA82CF96EF7}"/>
  <tableColumns count="6">
    <tableColumn id="1" xr3:uid="{A89CCE99-8FA1-4DB6-8759-B7992F64CB08}" name="LOAD" dataDxfId="204"/>
    <tableColumn id="2" xr3:uid="{257A31F0-BC06-44CD-8631-CD7AA0BEAE80}" name="NO. OF ESTABLISHMENTS" dataDxfId="203"/>
    <tableColumn id="3" xr3:uid="{C56B7D6E-C4B5-4101-B360-DCE4EAE625E9}" name="ESTIMATED AVERAGE AMPACITY" dataDxfId="202"/>
    <tableColumn id="4" xr3:uid="{D88E4877-5B71-435B-A90A-F670076C6ED2}" name="NUMBER OF PHASE" dataDxfId="201"/>
    <tableColumn id="5" xr3:uid="{FC429B0A-C93B-45E4-9D67-B4E046013B69}" name="VOLTAGE" dataDxfId="200"/>
    <tableColumn id="6" xr3:uid="{5971000D-BDBB-42EC-A86B-41F7B7B69EE9}" name="POWER (kW)" dataDxfId="199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EB263C94-08A8-46D0-8D87-BCCD9A969304}" name="Table161230118" displayName="Table161230118" ref="A68:F72" totalsRowShown="0" headerRowDxfId="198" dataDxfId="197">
  <autoFilter ref="A68:F72" xr:uid="{EB263C94-08A8-46D0-8D87-BCCD9A969304}"/>
  <tableColumns count="6">
    <tableColumn id="1" xr3:uid="{169E0A16-82AC-4A90-B415-F3CF604A7EFA}" name="LOAD" dataDxfId="196"/>
    <tableColumn id="2" xr3:uid="{9B4E1FAE-34C5-4259-86DE-9044AE277D31}" name="NO. OF ESTABLISHMENTS" dataDxfId="195"/>
    <tableColumn id="3" xr3:uid="{E9F81216-87D6-4F63-894C-8FD773B3090D}" name="ESTIMATED AVERAGE AMPACITY" dataDxfId="194"/>
    <tableColumn id="4" xr3:uid="{1A345B75-DC1A-4229-BE8D-6D9ACDC40041}" name="NUMBER OF PHASE" dataDxfId="193"/>
    <tableColumn id="5" xr3:uid="{3DDCF760-4B27-4683-9C88-876D8B190BD4}" name="VOLTAGE" dataDxfId="192"/>
    <tableColumn id="6" xr3:uid="{2CBEEDC3-05A6-4EAD-870C-97C8A19D48A0}" name="POWER (kW)" dataDxfId="19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3074D6DF-4A34-44AA-99F8-D50387E15BC2}" name="Table171331119" displayName="Table171331119" ref="A77:F80" totalsRowShown="0" headerRowDxfId="190" dataDxfId="189">
  <autoFilter ref="A77:F80" xr:uid="{3074D6DF-4A34-44AA-99F8-D50387E15BC2}"/>
  <tableColumns count="6">
    <tableColumn id="1" xr3:uid="{56CDD5EE-CD39-447B-A957-20054AFD58B0}" name="LOAD" dataDxfId="188"/>
    <tableColumn id="2" xr3:uid="{F9F291B0-F154-4CD1-A0CD-397F089CF75A}" name="NO. OF ESTABLISHMENTS" dataDxfId="187"/>
    <tableColumn id="3" xr3:uid="{7D025873-F80A-4DE1-B46F-2DBEE1762110}" name="ESTIMATED AVERAGE AMPACITY" dataDxfId="186"/>
    <tableColumn id="4" xr3:uid="{B94E2FDF-8BCA-434B-9F8C-ADCEFE37EEC9}" name="NUMBER OF PHASE" dataDxfId="185"/>
    <tableColumn id="5" xr3:uid="{3D5CCB8F-0C6D-4E6E-9559-D3D1FA0DACD1}" name="VOLTAGE" dataDxfId="184"/>
    <tableColumn id="6" xr3:uid="{2F184911-05D7-4A26-9B59-864771751EBB}" name="POWER (kW)" dataDxfId="18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2A1B8EA6-E65B-4152-AA33-85BA6B41AEBC}" name="Table1581432120" displayName="Table1581432120" ref="A85:F88" totalsRowShown="0" headerRowDxfId="182" dataDxfId="181">
  <autoFilter ref="A85:F88" xr:uid="{2A1B8EA6-E65B-4152-AA33-85BA6B41AEBC}"/>
  <tableColumns count="6">
    <tableColumn id="1" xr3:uid="{A7CC105A-C195-4231-8350-1FEC0E6E8FC1}" name="LOAD" dataDxfId="180"/>
    <tableColumn id="2" xr3:uid="{993DA663-96C7-4A25-8355-4D57AC60E439}" name="NO. OF ESTABLISHMENTS" dataDxfId="179"/>
    <tableColumn id="3" xr3:uid="{AFA44466-75AF-49E2-9918-8C84C43377A7}" name="ESTIMATED AVERAGE AMPACITY" dataDxfId="178"/>
    <tableColumn id="4" xr3:uid="{333EDBCE-CBC2-4B54-8013-85E2E94A1F69}" name="NUMBER OF PHASE" dataDxfId="177"/>
    <tableColumn id="5" xr3:uid="{4D18E535-1A53-49F0-B8D3-8BA4046429B2}" name="VOLTAGE" dataDxfId="176"/>
    <tableColumn id="6" xr3:uid="{F6C2A839-BF6C-4208-8073-E3D955F18594}" name="POWER (kW)" dataDxfId="175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6AA5E711-243A-4112-AFC6-2EB51B3789A1}" name="Table1691533121" displayName="Table1691533121" ref="A93:F97" totalsRowShown="0" headerRowDxfId="174" dataDxfId="173">
  <autoFilter ref="A93:F97" xr:uid="{6AA5E711-243A-4112-AFC6-2EB51B3789A1}"/>
  <tableColumns count="6">
    <tableColumn id="1" xr3:uid="{98DF2C70-A2D7-4C1D-B4A9-57C6370DDA75}" name="LOAD" dataDxfId="172"/>
    <tableColumn id="2" xr3:uid="{D08FC086-DF30-4C78-8D81-291D4DA3583A}" name="NO. OF ESTABLISHMENTS" dataDxfId="171"/>
    <tableColumn id="3" xr3:uid="{74DE3EFF-E140-40A3-8004-9E516965A656}" name="ESTIMATED AVERAGE AMPACITY" dataDxfId="170"/>
    <tableColumn id="4" xr3:uid="{738B6EF0-F5B5-4EA7-9F10-9D229B0DEA67}" name="NUMBER OF PHASE" dataDxfId="169"/>
    <tableColumn id="5" xr3:uid="{C17ABA6F-2EC0-4AFD-877D-86A68356B470}" name="VOLTAGE" dataDxfId="168"/>
    <tableColumn id="6" xr3:uid="{D8A753F6-1718-4579-939B-3F8B327B6214}" name="POWER (kW)" dataDxfId="16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C6298E73-2662-4D9B-BCEC-0AA9FA7C0F9A}" name="Table11634122" displayName="Table11634122" ref="A102:F105" totalsRowShown="0" headerRowDxfId="166" dataDxfId="165">
  <autoFilter ref="A102:F105" xr:uid="{C6298E73-2662-4D9B-BCEC-0AA9FA7C0F9A}"/>
  <tableColumns count="6">
    <tableColumn id="1" xr3:uid="{5E842E44-1C79-48D5-A663-5273BB866122}" name="LOAD" dataDxfId="164"/>
    <tableColumn id="2" xr3:uid="{90DE5D11-C009-4347-AEDE-9D6604E2AC61}" name="NO. OF ESTABLISHMENTS" dataDxfId="163"/>
    <tableColumn id="3" xr3:uid="{FAC715FC-C8D2-4144-9880-71954567F5CA}" name="ESTIMATED AVERAGE AMPACITY" dataDxfId="162"/>
    <tableColumn id="4" xr3:uid="{CFA22FA7-03D0-4230-B2EC-112BFEEC4642}" name="NUMBER OF PHASE" dataDxfId="161"/>
    <tableColumn id="5" xr3:uid="{C3CF538D-8735-4240-BED3-56E01E947871}" name="VOLTAGE" dataDxfId="160"/>
    <tableColumn id="6" xr3:uid="{DC66FD7F-E682-4B91-AEFB-4032F7461C3D}" name="POWER (kW)" dataDxfId="159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BDEFC21E-8F5D-4248-80DF-190C247AEE62}" name="Table151735123" displayName="Table151735123" ref="A110:F113" totalsRowShown="0" headerRowDxfId="158" dataDxfId="157">
  <autoFilter ref="A110:F113" xr:uid="{BDEFC21E-8F5D-4248-80DF-190C247AEE62}"/>
  <tableColumns count="6">
    <tableColumn id="1" xr3:uid="{42B77631-35C9-44FE-A2D5-5C526F7FA4B1}" name="LOAD" dataDxfId="156"/>
    <tableColumn id="2" xr3:uid="{59763F6E-6FBA-43E6-898E-E674F17A2319}" name="NO. OF ESTABLISHMENTS" dataDxfId="155"/>
    <tableColumn id="3" xr3:uid="{D37449E4-5E69-449D-944D-7925AFF5AAE0}" name="ESTIMATED AVERAGE AMPACITY" dataDxfId="154"/>
    <tableColumn id="4" xr3:uid="{68244107-02EC-461A-A847-5B7D36DFA479}" name="NUMBER OF PHASE" dataDxfId="153"/>
    <tableColumn id="5" xr3:uid="{FF5414D1-576F-411D-BB99-500AB54519C5}" name="VOLTAGE" dataDxfId="152"/>
    <tableColumn id="6" xr3:uid="{FA799A23-D40B-4809-BF3F-3DFDEB05B15F}" name="POWER (kW)" dataDxfId="151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10E455B3-92C6-4EF8-B025-E7F76FA388CA}" name="Table161836124" displayName="Table161836124" ref="A118:F121" totalsRowShown="0" headerRowDxfId="150" dataDxfId="149">
  <autoFilter ref="A118:F121" xr:uid="{10E455B3-92C6-4EF8-B025-E7F76FA388CA}"/>
  <tableColumns count="6">
    <tableColumn id="1" xr3:uid="{7B1FB455-ACB6-4F7A-BF29-6159857063D8}" name="LOAD" dataDxfId="148"/>
    <tableColumn id="2" xr3:uid="{9CDADEC4-D224-4F53-A476-9FEFFFDEE9FC}" name="NO. OF ESTABLISHMENTS" dataDxfId="147"/>
    <tableColumn id="3" xr3:uid="{40532AFA-7B48-4659-A544-405F9F405D36}" name="ESTIMATED AVERAGE AMPACITY" dataDxfId="146"/>
    <tableColumn id="4" xr3:uid="{2F66549B-406A-45A0-90EC-001F3CFA577D}" name="NUMBER OF PHASE" dataDxfId="145"/>
    <tableColumn id="5" xr3:uid="{E4F894C1-D440-409F-AA30-365FE825D95E}" name="VOLTAGE" dataDxfId="144"/>
    <tableColumn id="6" xr3:uid="{C1F20D26-9862-480A-A629-675868C67FD2}" name="POWER (kW)" dataDxfId="143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7029595A-EC3E-4648-B31A-AEED94AF2689}" name="Table122110128" displayName="Table122110128" ref="A4:F8" totalsRowShown="0" headerRowDxfId="142" dataDxfId="141">
  <autoFilter ref="A4:F8" xr:uid="{7029595A-EC3E-4648-B31A-AEED94AF2689}"/>
  <tableColumns count="6">
    <tableColumn id="1" xr3:uid="{937E5973-5EAA-4C30-BDC9-830CE67184B7}" name="LOAD" dataDxfId="140"/>
    <tableColumn id="2" xr3:uid="{A9808EFB-8698-475F-9EAB-343C1D78B437}" name="NO. OF ESTABLISHMENTS" dataDxfId="139"/>
    <tableColumn id="3" xr3:uid="{866AA70B-D918-4AD9-8D91-A20AE9364F49}" name="ESTIMATED AVERAGE AMPACITY" dataDxfId="138"/>
    <tableColumn id="4" xr3:uid="{6F22D204-3A70-4A3E-8F22-C9E08FB390CC}" name="NUMBER OF PHASE" dataDxfId="137"/>
    <tableColumn id="5" xr3:uid="{FC70A85E-E30F-461B-9C07-5AE831D5E663}" name="VOLTAGE" dataDxfId="136"/>
    <tableColumn id="6" xr3:uid="{65FEC143-BA15-4713-A259-3084E1953628}" name="POWER (kW)" dataDxfId="135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4D3DEFD9-40B6-4328-9A48-5973F3631C3B}" name="Table1523111129" displayName="Table1523111129" ref="A13:F16" totalsRowShown="0" headerRowDxfId="134" dataDxfId="133">
  <autoFilter ref="A13:F16" xr:uid="{4D3DEFD9-40B6-4328-9A48-5973F3631C3B}"/>
  <tableColumns count="6">
    <tableColumn id="1" xr3:uid="{B3F6EF05-8EF7-4156-9B2F-EA0F0D738364}" name="LOAD" dataDxfId="132"/>
    <tableColumn id="2" xr3:uid="{EBDD0103-62AB-45CA-8FE3-CD4C487F0647}" name="NO. OF ESTABLISHMENTS" dataDxfId="131"/>
    <tableColumn id="3" xr3:uid="{5621DD96-40A2-47E0-96E6-36A92E6E3440}" name="ESTIMATED AVERAGE AMPACITY" dataDxfId="130"/>
    <tableColumn id="4" xr3:uid="{58391A99-AAED-43D1-A179-7400C0B8A4AC}" name="NUMBER OF PHASE" dataDxfId="129"/>
    <tableColumn id="5" xr3:uid="{73F084C7-22FA-4E46-ADF1-75230D929B6E}" name="VOLTAGE" dataDxfId="128"/>
    <tableColumn id="6" xr3:uid="{A11294F9-E31F-45B7-8708-CD5EEE2A4EB7}" name="POWER (kW)" dataDxfId="127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E251BA09-615A-4661-B63F-F037DC3F4F64}" name="Table1624112130" displayName="Table1624112130" ref="A21:F24" totalsRowShown="0" headerRowDxfId="126" dataDxfId="125">
  <autoFilter ref="A21:F24" xr:uid="{E251BA09-615A-4661-B63F-F037DC3F4F64}"/>
  <tableColumns count="6">
    <tableColumn id="1" xr3:uid="{4DDF9C48-8A56-41DD-90CD-3F27212349E7}" name="LOAD" dataDxfId="124"/>
    <tableColumn id="2" xr3:uid="{38FA002C-F002-4D22-AE24-8F1486B54DB9}" name="NO. OF ESTABLISHMENTS" dataDxfId="123"/>
    <tableColumn id="3" xr3:uid="{1C01B067-ADBB-4E42-BB92-8AC11E0765FF}" name="ESTIMATED AVERAGE AMPACITY" dataDxfId="122"/>
    <tableColumn id="4" xr3:uid="{957237BB-26F9-439F-B48F-1818E8243A63}" name="NUMBER OF PHASE" dataDxfId="121"/>
    <tableColumn id="5" xr3:uid="{6B816EB0-ADC5-4B9C-87B7-45E0A20336F8}" name="VOLTAGE" dataDxfId="120"/>
    <tableColumn id="6" xr3:uid="{C7BC247F-0E13-4069-AB3B-BDA7ECDDEDE0}" name="POWER (kW)" dataDxfId="119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C1ABC2E0-90F6-4901-9742-F53E5175FF51}" name="Table1725113131" displayName="Table1725113131" ref="A29:F32" totalsRowShown="0" headerRowDxfId="118" dataDxfId="117">
  <autoFilter ref="A29:F32" xr:uid="{C1ABC2E0-90F6-4901-9742-F53E5175FF51}"/>
  <tableColumns count="6">
    <tableColumn id="1" xr3:uid="{FEB73D1E-DCF9-4E6A-934B-3B4CBE051BDA}" name="LOAD" dataDxfId="116"/>
    <tableColumn id="2" xr3:uid="{82CAA23A-19FE-4583-8AE3-42BC38B05BBC}" name="NO. OF ESTABLISHMENTS" dataDxfId="115"/>
    <tableColumn id="3" xr3:uid="{C52D7118-C540-4FE7-A5D6-F6B4F24366C4}" name="ESTIMATED AVERAGE AMPACITY" dataDxfId="114"/>
    <tableColumn id="4" xr3:uid="{8DD3444B-12AE-44B5-8387-776BFCDFF9BB}" name="NUMBER OF PHASE" dataDxfId="113"/>
    <tableColumn id="5" xr3:uid="{819C022A-6742-4FD9-A7E9-0E0E84953A34}" name="VOLTAGE" dataDxfId="112"/>
    <tableColumn id="6" xr3:uid="{8E2FF4E3-F7FF-4254-B6E2-B6236009A3BD}" name="POWER (kW)" dataDxfId="111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E59C8BFB-B415-4082-8854-9AF6A5B47323}" name="Table15826114132" displayName="Table15826114132" ref="A37:F40" totalsRowShown="0" headerRowDxfId="110" dataDxfId="109">
  <autoFilter ref="A37:F40" xr:uid="{E59C8BFB-B415-4082-8854-9AF6A5B47323}"/>
  <tableColumns count="6">
    <tableColumn id="1" xr3:uid="{A97AE0D7-E9E8-4CFC-8732-D3BB4591A8EF}" name="LOAD" dataDxfId="108"/>
    <tableColumn id="2" xr3:uid="{E1F43991-A291-4293-B9DD-4B7AD4F80B30}" name="NO. OF ESTABLISHMENTS" dataDxfId="107"/>
    <tableColumn id="3" xr3:uid="{378F2B98-E496-4838-8AD7-472588CDDC20}" name="ESTIMATED AVERAGE AMPACITY" dataDxfId="106"/>
    <tableColumn id="4" xr3:uid="{1FDB7AED-4F60-469B-8EF2-9DEE6A730BCC}" name="NUMBER OF PHASE" dataDxfId="105"/>
    <tableColumn id="5" xr3:uid="{E69B59BB-DB1A-4CD2-9E99-19DCB85B8B21}" name="VOLTAGE" dataDxfId="104"/>
    <tableColumn id="6" xr3:uid="{797D33AC-84A3-40B7-B838-1A74A58AE321}" name="POWER (kW)" dataDxfId="103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878AAC9E-8829-42D1-91D4-A426FD339DA9}" name="Table16927115133" displayName="Table16927115133" ref="A45:F48" totalsRowShown="0" headerRowDxfId="102" dataDxfId="101">
  <autoFilter ref="A45:F48" xr:uid="{878AAC9E-8829-42D1-91D4-A426FD339DA9}"/>
  <tableColumns count="6">
    <tableColumn id="1" xr3:uid="{FBD5A9E3-5A49-42BE-9D58-E65414C8C902}" name="LOAD" dataDxfId="100"/>
    <tableColumn id="2" xr3:uid="{472A3E71-DC68-43C7-9D28-1A46C3371E0C}" name="NO. OF ESTABLISHMENTS" dataDxfId="99"/>
    <tableColumn id="3" xr3:uid="{EE44B86E-B94D-4ED3-90D9-78AD2F8F8AE6}" name="ESTIMATED AVERAGE AMPACITY" dataDxfId="98"/>
    <tableColumn id="4" xr3:uid="{C1210444-3B22-48D3-835D-7BC238C7F460}" name="NUMBER OF PHASE" dataDxfId="97"/>
    <tableColumn id="5" xr3:uid="{8DB34CAC-0757-438E-8464-2B5291A5956A}" name="VOLTAGE" dataDxfId="96"/>
    <tableColumn id="6" xr3:uid="{80C60438-F57E-41F5-B3E1-5B2573D1330E}" name="POWER (kW)" dataDxfId="95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59BB3E14-2DBD-4AD2-A6AC-6C9B2C9AE736}" name="Table11028116134" displayName="Table11028116134" ref="A53:F57" totalsRowShown="0" headerRowDxfId="94" dataDxfId="93">
  <autoFilter ref="A53:F57" xr:uid="{59BB3E14-2DBD-4AD2-A6AC-6C9B2C9AE736}"/>
  <tableColumns count="6">
    <tableColumn id="1" xr3:uid="{1103C240-AD58-40CA-9B36-13A79B1BD792}" name="LOAD" dataDxfId="92"/>
    <tableColumn id="2" xr3:uid="{82BEB7F3-11DE-411C-B83A-98F2442C456C}" name="NO. OF ESTABLISHMENTS" dataDxfId="91"/>
    <tableColumn id="3" xr3:uid="{1066D504-E563-47FD-890D-C632D9F0B143}" name="ESTIMATED AVERAGE AMPACITY" dataDxfId="90"/>
    <tableColumn id="4" xr3:uid="{6FC2490B-A892-451C-97FD-6D10358FE8C2}" name="NUMBER OF PHASE" dataDxfId="89"/>
    <tableColumn id="5" xr3:uid="{37B88F2F-C856-4470-BE1E-C1FF2D6555EB}" name="VOLTAGE" dataDxfId="88"/>
    <tableColumn id="6" xr3:uid="{1006A066-240A-4816-A6A5-C9B44D824733}" name="POWER (kW)" dataDxfId="8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A9CACBB1-B3E4-4083-8AD7-178F31A49540}" name="Table151129117135" displayName="Table151129117135" ref="A62:F65" totalsRowShown="0" headerRowDxfId="86" dataDxfId="85">
  <autoFilter ref="A62:F65" xr:uid="{A9CACBB1-B3E4-4083-8AD7-178F31A49540}"/>
  <tableColumns count="6">
    <tableColumn id="1" xr3:uid="{32D3F84A-C409-47A1-AF07-DB29D3ED3ED5}" name="LOAD" dataDxfId="84"/>
    <tableColumn id="2" xr3:uid="{8FB57E9E-4048-45F3-B4D9-4AE115AE2238}" name="NO. OF ESTABLISHMENTS" dataDxfId="83"/>
    <tableColumn id="3" xr3:uid="{0458DD33-328E-4DAC-83D0-8D51FEAE2FB7}" name="ESTIMATED AVERAGE AMPACITY" dataDxfId="82"/>
    <tableColumn id="4" xr3:uid="{FB61260E-A373-43F1-8356-A0FAD12BA949}" name="NUMBER OF PHASE" dataDxfId="81"/>
    <tableColumn id="5" xr3:uid="{B6380A5D-40A2-4427-88DE-8851853B538A}" name="VOLTAGE" dataDxfId="80"/>
    <tableColumn id="6" xr3:uid="{61254533-C7DF-46DB-9B1B-1CDBA3DA39C4}" name="POWER (kW)" dataDxfId="79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C22D9780-EC9D-481E-9DDA-E583F09EBB65}" name="Table161230118136" displayName="Table161230118136" ref="A70:F73" totalsRowShown="0" headerRowDxfId="78" dataDxfId="77">
  <autoFilter ref="A70:F73" xr:uid="{C22D9780-EC9D-481E-9DDA-E583F09EBB65}"/>
  <tableColumns count="6">
    <tableColumn id="1" xr3:uid="{84DBA773-D5E8-4621-900A-AB370F7024EF}" name="LOAD" dataDxfId="76"/>
    <tableColumn id="2" xr3:uid="{CFE55BD5-5DE5-4EF8-9227-638260C9E974}" name="NO. OF ESTABLISHMENTS" dataDxfId="75"/>
    <tableColumn id="3" xr3:uid="{90D7D379-8C97-4FF0-9723-E181BE311593}" name="ESTIMATED AVERAGE AMPACITY" dataDxfId="74"/>
    <tableColumn id="4" xr3:uid="{4C90BC09-294D-44CE-BF81-1B18565FC961}" name="NUMBER OF PHASE" dataDxfId="73"/>
    <tableColumn id="5" xr3:uid="{5CD9B36B-AA6B-4596-8A74-1EA7334BBD0F}" name="VOLTAGE" dataDxfId="72"/>
    <tableColumn id="6" xr3:uid="{FCC997B7-61DA-450C-9E10-C9DA895D39E6}" name="POWER (kW)" dataDxfId="7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B19A2972-E5C1-43A1-BBCB-B1823D107DEB}" name="Table171331119137" displayName="Table171331119137" ref="A78:F81" totalsRowShown="0" headerRowDxfId="70" dataDxfId="69">
  <autoFilter ref="A78:F81" xr:uid="{B19A2972-E5C1-43A1-BBCB-B1823D107DEB}"/>
  <tableColumns count="6">
    <tableColumn id="1" xr3:uid="{9B3EB3A1-55D5-4366-99E2-F4FA817A8EA2}" name="LOAD" dataDxfId="68"/>
    <tableColumn id="2" xr3:uid="{5220EE24-1DDC-4756-948C-61ACEB8191E1}" name="NO. OF ESTABLISHMENTS" dataDxfId="67"/>
    <tableColumn id="3" xr3:uid="{27C95C81-69B8-4C06-AE4D-7622C6148DE5}" name="ESTIMATED AVERAGE AMPACITY" dataDxfId="66"/>
    <tableColumn id="4" xr3:uid="{488799EA-C3B0-4519-A2A3-6C18969845C5}" name="NUMBER OF PHASE" dataDxfId="65"/>
    <tableColumn id="5" xr3:uid="{EC2CFEA2-A72D-418F-AB53-19DD2ECBA0F5}" name="VOLTAGE" dataDxfId="64"/>
    <tableColumn id="6" xr3:uid="{FCAA47C5-CA44-4B32-9B47-15FE09A19CC1}" name="POWER (kW)" dataDxfId="63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18A17C37-DAFD-4908-B79F-94B5DC6BEB68}" name="Table1581432120138" displayName="Table1581432120138" ref="A86:F89" totalsRowShown="0" headerRowDxfId="62" dataDxfId="61">
  <autoFilter ref="A86:F89" xr:uid="{18A17C37-DAFD-4908-B79F-94B5DC6BEB68}"/>
  <tableColumns count="6">
    <tableColumn id="1" xr3:uid="{CA9C53D4-7624-49BC-BCA0-250B8997227B}" name="LOAD" dataDxfId="60"/>
    <tableColumn id="2" xr3:uid="{62B55CAE-50C3-4D06-AAC3-01E4D7D125C7}" name="NO. OF ESTABLISHMENTS" dataDxfId="59"/>
    <tableColumn id="3" xr3:uid="{0651CF0D-DB11-43FB-BBA2-07060E27315D}" name="ESTIMATED AVERAGE AMPACITY" dataDxfId="58"/>
    <tableColumn id="4" xr3:uid="{69F516CB-6494-4D2A-BAE3-38876513D521}" name="NUMBER OF PHASE" dataDxfId="57"/>
    <tableColumn id="5" xr3:uid="{13045892-2D14-4F10-8235-24C179F76EED}" name="VOLTAGE" dataDxfId="56"/>
    <tableColumn id="6" xr3:uid="{B6FBB03C-F1F4-45BD-8796-351B308A7361}" name="POWER (kW)" dataDxfId="55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27A429A6-B7C3-4CB4-8A45-E702A4170802}" name="Table1691533121139" displayName="Table1691533121139" ref="A94:F97" totalsRowShown="0" headerRowDxfId="54" dataDxfId="53">
  <autoFilter ref="A94:F97" xr:uid="{27A429A6-B7C3-4CB4-8A45-E702A4170802}"/>
  <tableColumns count="6">
    <tableColumn id="1" xr3:uid="{52A5B13E-8714-4DE0-8447-F84341D3C83A}" name="LOAD" dataDxfId="52"/>
    <tableColumn id="2" xr3:uid="{26B680F5-AC94-4141-98A7-C35C2B666C6E}" name="NO. OF ESTABLISHMENTS" dataDxfId="51"/>
    <tableColumn id="3" xr3:uid="{E9B08D50-24F2-4BEF-A72D-F611C930F703}" name="ESTIMATED AVERAGE AMPACITY" dataDxfId="50"/>
    <tableColumn id="4" xr3:uid="{00A59A3A-D6D3-4EA6-A838-E00E550A85B8}" name="NUMBER OF PHASE" dataDxfId="49"/>
    <tableColumn id="5" xr3:uid="{04D01C0C-57EF-419C-8112-4DE91DF4DC50}" name="VOLTAGE" dataDxfId="48"/>
    <tableColumn id="6" xr3:uid="{3D61E2D4-5593-43A0-8EBB-9CE9A3398142}" name="POWER (kW)" dataDxfId="4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5F0B0910-D97B-42CB-B218-93A95398C5AC}" name="Table11634122140" displayName="Table11634122140" ref="A102:F105" totalsRowShown="0" headerRowDxfId="46" dataDxfId="45">
  <autoFilter ref="A102:F105" xr:uid="{5F0B0910-D97B-42CB-B218-93A95398C5AC}"/>
  <tableColumns count="6">
    <tableColumn id="1" xr3:uid="{B737A530-F6DF-4562-8E13-550F81474CF3}" name="LOAD" dataDxfId="44"/>
    <tableColumn id="2" xr3:uid="{815B1477-E537-44F6-8179-4FAA7F1174D7}" name="NO. OF ESTABLISHMENTS" dataDxfId="43"/>
    <tableColumn id="3" xr3:uid="{1D8BBB26-DE65-4F2B-87AA-2D622C581DAF}" name="ESTIMATED AVERAGE AMPACITY" dataDxfId="42"/>
    <tableColumn id="4" xr3:uid="{40B1A7EC-D555-4596-ACF4-FFC90CCD76A0}" name="NUMBER OF PHASE" dataDxfId="41"/>
    <tableColumn id="5" xr3:uid="{654A3F7C-435F-48C2-8236-50DE83328F8E}" name="VOLTAGE" dataDxfId="40"/>
    <tableColumn id="6" xr3:uid="{3DEE984F-8599-4B66-8697-54652CE7DCA8}" name="POWER (kW)" dataDxfId="39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B422E674-63EC-43E1-8900-B7B5A8E7ED74}" name="Table151735123141" displayName="Table151735123141" ref="A110:F113" totalsRowShown="0" headerRowDxfId="38" dataDxfId="37">
  <autoFilter ref="A110:F113" xr:uid="{B422E674-63EC-43E1-8900-B7B5A8E7ED74}"/>
  <tableColumns count="6">
    <tableColumn id="1" xr3:uid="{72F376E0-A8A7-4444-975D-47D91DBE3B99}" name="LOAD" dataDxfId="36"/>
    <tableColumn id="2" xr3:uid="{70DE7A68-BC50-43B7-8681-3C31BE5C5D46}" name="NO. OF ESTABLISHMENTS" dataDxfId="35"/>
    <tableColumn id="3" xr3:uid="{503193D8-548D-4560-9EDC-6B49DED81DD5}" name="ESTIMATED AVERAGE AMPACITY" dataDxfId="34"/>
    <tableColumn id="4" xr3:uid="{BD0D34BA-2998-4FAD-A43F-05582F1C1A87}" name="NUMBER OF PHASE" dataDxfId="33"/>
    <tableColumn id="5" xr3:uid="{A64D8FDF-245D-4551-8A68-A80A0075FCBC}" name="VOLTAGE" dataDxfId="32"/>
    <tableColumn id="6" xr3:uid="{47644388-0FF9-4CF6-BABB-33B85EC51FF9}" name="POWER (kW)" dataDxfId="31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B5EE73DC-DD08-45E7-B585-655AA0CDC783}" name="Table161836124142" displayName="Table161836124142" ref="A118:F121" totalsRowShown="0" headerRowDxfId="30" dataDxfId="29">
  <autoFilter ref="A118:F121" xr:uid="{B5EE73DC-DD08-45E7-B585-655AA0CDC783}"/>
  <tableColumns count="6">
    <tableColumn id="1" xr3:uid="{11AF27F8-6611-44D9-8D2D-514F64082DAB}" name="LOAD" dataDxfId="28"/>
    <tableColumn id="2" xr3:uid="{4C0EED0A-245C-4290-8D4F-F3363A5D52E2}" name="NO. OF ESTABLISHMENTS" dataDxfId="27"/>
    <tableColumn id="3" xr3:uid="{E32A5A0C-BB09-4714-884B-B7FB2F471C45}" name="ESTIMATED AVERAGE AMPACITY" dataDxfId="26"/>
    <tableColumn id="4" xr3:uid="{CA246023-CF47-4B9E-A4DD-1EE1365E4F57}" name="NUMBER OF PHASE" dataDxfId="25"/>
    <tableColumn id="5" xr3:uid="{FC879718-687A-41B9-A314-055C124BF90C}" name="VOLTAGE" dataDxfId="24"/>
    <tableColumn id="6" xr3:uid="{B2B54933-4C84-4661-8F44-D225819495C7}" name="POWER (kW)" dataDxfId="23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E689567E-996F-4AD4-84C5-454EDD334258}" name="Table161836124142143" displayName="Table161836124142143" ref="A126:F129" totalsRowShown="0" headerRowDxfId="22" dataDxfId="21">
  <autoFilter ref="A126:F129" xr:uid="{E689567E-996F-4AD4-84C5-454EDD334258}"/>
  <tableColumns count="6">
    <tableColumn id="1" xr3:uid="{FA41B450-B11B-451A-9494-7A60A0C317AB}" name="LOAD" dataDxfId="20"/>
    <tableColumn id="2" xr3:uid="{F9C82A71-A88A-4FEB-B0C1-1057B86209E5}" name="NO. OF ESTABLISHMENTS" dataDxfId="19"/>
    <tableColumn id="3" xr3:uid="{F4388C36-5D19-478D-BF98-7D867BF1D84A}" name="ESTIMATED AVERAGE AMPACITY" dataDxfId="18"/>
    <tableColumn id="4" xr3:uid="{E2C3B1EF-83F7-4E6E-8633-52764BF35A08}" name="NUMBER OF PHASE" dataDxfId="17"/>
    <tableColumn id="5" xr3:uid="{D2C7FE33-87D3-449C-992C-E431C5A4ABB8}" name="VOLTAGE" dataDxfId="16"/>
    <tableColumn id="6" xr3:uid="{151B6CDC-565B-4FD3-8961-BDC7C814B6A9}" name="POWER (kW)" dataDxfId="15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228D57-B410-40C2-B103-A0B898689B63}" name="Table2" displayName="Table2" ref="A2:C6" totalsRowShown="0" headerRowDxfId="14" dataDxfId="13">
  <autoFilter ref="A2:C6" xr:uid="{72228D57-B410-40C2-B103-A0B898689B63}">
    <filterColumn colId="0" hiddenButton="1"/>
    <filterColumn colId="1" hiddenButton="1"/>
    <filterColumn colId="2" hiddenButton="1"/>
  </autoFilter>
  <tableColumns count="3">
    <tableColumn id="1" xr3:uid="{2F3E6AF6-3077-4937-9153-41FB7DAAE669}" name="FEEDERS" dataDxfId="12"/>
    <tableColumn id="2" xr3:uid="{DFD1F50F-4279-4182-87C9-C8DF2C3F95A9}" name="LOAD SIZE" dataDxfId="11"/>
    <tableColumn id="3" xr3:uid="{6C3E9A9A-D9AE-4A3A-84D1-7BEC7DF2D43B}" name="UNIT" dataDxfId="1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11C048-7FC9-4F31-AA16-690A35CB772C}" name="Table3" displayName="Table3" ref="F2:I10" totalsRowShown="0">
  <autoFilter ref="F2:I10" xr:uid="{8F11C048-7FC9-4F31-AA16-690A35CB772C}">
    <filterColumn colId="0" hiddenButton="1"/>
    <filterColumn colId="1" hiddenButton="1"/>
    <filterColumn colId="2" hiddenButton="1"/>
    <filterColumn colId="3" hiddenButton="1"/>
  </autoFilter>
  <tableColumns count="4">
    <tableColumn id="4" xr3:uid="{D21696FF-5E7B-4EF4-B64D-C2415DCFE063}" name="FEEDER"/>
    <tableColumn id="1" xr3:uid="{39B8C8B9-B900-49CB-B9A1-376CC311085D}" name="BULK USER"/>
    <tableColumn id="2" xr3:uid="{382739EE-56C8-44AC-BB0E-DAABC1F136E1}" name="LOAD SIZE" dataDxfId="9"/>
    <tableColumn id="3" xr3:uid="{36445272-52C4-4819-9266-8E078D56A475}" name="UNIT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830BDED-814E-4122-BD11-DC5D341DB5A2}" name="Table36" displayName="Table36" ref="K2:L4" totalsRowShown="0" headerRowDxfId="8" dataDxfId="7">
  <autoFilter ref="K2:L4" xr:uid="{4830BDED-814E-4122-BD11-DC5D341DB5A2}"/>
  <tableColumns count="2">
    <tableColumn id="1" xr3:uid="{08264940-D849-4198-AB23-3205965803B9}" name="SUBSTATION SIZE" dataDxfId="6">
      <calculatedColumnFormula>SUM(Table2[LOAD SIZE])/1.2</calculatedColumnFormula>
    </tableColumn>
    <tableColumn id="2" xr3:uid="{158DCA30-8FCE-4270-8666-048CEDA7C056}" name="UNIT" dataDxfId="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9E6E9D1-695A-4092-81D0-5D821C7409C8}" name="Table37" displayName="Table37" ref="N2:O3" totalsRowShown="0" headerRowDxfId="4" dataDxfId="3">
  <autoFilter ref="N2:O3" xr:uid="{F9E6E9D1-695A-4092-81D0-5D821C7409C8}">
    <filterColumn colId="0" hiddenButton="1"/>
    <filterColumn colId="1" hiddenButton="1"/>
  </autoFilter>
  <tableColumns count="2">
    <tableColumn id="1" xr3:uid="{2062A4C0-1421-418D-B5BF-74E5D212BC3A}" name="POWER PLANT SIZE" dataDxfId="2">
      <calculatedColumnFormula>SUM(K:K,H:H)/1.1</calculatedColumnFormula>
    </tableColumn>
    <tableColumn id="2" xr3:uid="{2AEFA589-C1E2-4125-886F-0CFF211F26D1}" name="UNIT" dataDxfId="1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939B018-DC3D-44B7-B74A-B78ED27989FC}" name="Table39" displayName="Table39" ref="AG2:AH5" totalsRowShown="0">
  <autoFilter ref="AG2:AH5" xr:uid="{4939B018-DC3D-44B7-B74A-B78ED27989FC}">
    <filterColumn colId="0" hiddenButton="1"/>
    <filterColumn colId="1" hiddenButton="1"/>
  </autoFilter>
  <tableColumns count="2">
    <tableColumn id="1" xr3:uid="{28F98C34-D10F-48D9-B984-83730E5DFF62}" name="LOAD"/>
    <tableColumn id="2" xr3:uid="{F88F8733-2AF6-4A8B-BFD1-4B83A10D180F}" name="Power (kW)" dataDxfId="0"/>
  </tableColumns>
  <tableStyleInfo name="TableStyleMedium16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FF80D52-6896-4C8B-B80F-D569C3838428}" name="Table38" displayName="Table38" ref="A32:A50" totalsRowShown="0">
  <autoFilter ref="A32:A50" xr:uid="{AFF80D52-6896-4C8B-B80F-D569C3838428}">
    <filterColumn colId="0" hiddenButton="1"/>
  </autoFilter>
  <sortState xmlns:xlrd2="http://schemas.microsoft.com/office/spreadsheetml/2017/richdata2" ref="A33:A50">
    <sortCondition ref="A32:A50"/>
  </sortState>
  <tableColumns count="1">
    <tableColumn id="1" xr3:uid="{746A11DA-AE8A-45BF-9D5E-69C728F91377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13" Type="http://schemas.openxmlformats.org/officeDocument/2006/relationships/table" Target="../tables/table31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12" Type="http://schemas.openxmlformats.org/officeDocument/2006/relationships/table" Target="../tables/table30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11" Type="http://schemas.openxmlformats.org/officeDocument/2006/relationships/table" Target="../tables/table29.xml"/><Relationship Id="rId5" Type="http://schemas.openxmlformats.org/officeDocument/2006/relationships/table" Target="../tables/table23.xml"/><Relationship Id="rId15" Type="http://schemas.openxmlformats.org/officeDocument/2006/relationships/table" Target="../tables/table33.xml"/><Relationship Id="rId10" Type="http://schemas.openxmlformats.org/officeDocument/2006/relationships/table" Target="../tables/table28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Relationship Id="rId14" Type="http://schemas.openxmlformats.org/officeDocument/2006/relationships/table" Target="../tables/table3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1.xml"/><Relationship Id="rId13" Type="http://schemas.openxmlformats.org/officeDocument/2006/relationships/table" Target="../tables/table46.xml"/><Relationship Id="rId3" Type="http://schemas.openxmlformats.org/officeDocument/2006/relationships/table" Target="../tables/table36.xml"/><Relationship Id="rId7" Type="http://schemas.openxmlformats.org/officeDocument/2006/relationships/table" Target="../tables/table40.xml"/><Relationship Id="rId12" Type="http://schemas.openxmlformats.org/officeDocument/2006/relationships/table" Target="../tables/table45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Relationship Id="rId6" Type="http://schemas.openxmlformats.org/officeDocument/2006/relationships/table" Target="../tables/table39.xml"/><Relationship Id="rId11" Type="http://schemas.openxmlformats.org/officeDocument/2006/relationships/table" Target="../tables/table44.xml"/><Relationship Id="rId5" Type="http://schemas.openxmlformats.org/officeDocument/2006/relationships/table" Target="../tables/table38.xml"/><Relationship Id="rId15" Type="http://schemas.openxmlformats.org/officeDocument/2006/relationships/table" Target="../tables/table48.xml"/><Relationship Id="rId10" Type="http://schemas.openxmlformats.org/officeDocument/2006/relationships/table" Target="../tables/table43.xml"/><Relationship Id="rId4" Type="http://schemas.openxmlformats.org/officeDocument/2006/relationships/table" Target="../tables/table37.xml"/><Relationship Id="rId9" Type="http://schemas.openxmlformats.org/officeDocument/2006/relationships/table" Target="../tables/table42.xml"/><Relationship Id="rId14" Type="http://schemas.openxmlformats.org/officeDocument/2006/relationships/table" Target="../tables/table4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6.xml"/><Relationship Id="rId13" Type="http://schemas.openxmlformats.org/officeDocument/2006/relationships/table" Target="../tables/table61.xml"/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12" Type="http://schemas.openxmlformats.org/officeDocument/2006/relationships/table" Target="../tables/table60.xml"/><Relationship Id="rId2" Type="http://schemas.openxmlformats.org/officeDocument/2006/relationships/table" Target="../tables/table50.xml"/><Relationship Id="rId16" Type="http://schemas.openxmlformats.org/officeDocument/2006/relationships/table" Target="../tables/table64.xml"/><Relationship Id="rId1" Type="http://schemas.openxmlformats.org/officeDocument/2006/relationships/table" Target="../tables/table49.xml"/><Relationship Id="rId6" Type="http://schemas.openxmlformats.org/officeDocument/2006/relationships/table" Target="../tables/table54.xml"/><Relationship Id="rId11" Type="http://schemas.openxmlformats.org/officeDocument/2006/relationships/table" Target="../tables/table59.xml"/><Relationship Id="rId5" Type="http://schemas.openxmlformats.org/officeDocument/2006/relationships/table" Target="../tables/table53.xml"/><Relationship Id="rId15" Type="http://schemas.openxmlformats.org/officeDocument/2006/relationships/table" Target="../tables/table63.xml"/><Relationship Id="rId10" Type="http://schemas.openxmlformats.org/officeDocument/2006/relationships/table" Target="../tables/table58.xml"/><Relationship Id="rId4" Type="http://schemas.openxmlformats.org/officeDocument/2006/relationships/table" Target="../tables/table52.xml"/><Relationship Id="rId9" Type="http://schemas.openxmlformats.org/officeDocument/2006/relationships/table" Target="../tables/table57.xml"/><Relationship Id="rId14" Type="http://schemas.openxmlformats.org/officeDocument/2006/relationships/table" Target="../tables/table6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7" Type="http://schemas.openxmlformats.org/officeDocument/2006/relationships/table" Target="../tables/table69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8.xml"/><Relationship Id="rId5" Type="http://schemas.openxmlformats.org/officeDocument/2006/relationships/table" Target="../tables/table67.xml"/><Relationship Id="rId4" Type="http://schemas.openxmlformats.org/officeDocument/2006/relationships/table" Target="../tables/table6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383C-0010-433D-9DB3-7021843E9B00}">
  <dimension ref="A1:Z37"/>
  <sheetViews>
    <sheetView showGridLines="0" showRowColHeaders="0" workbookViewId="0">
      <selection activeCell="W2" sqref="W2"/>
    </sheetView>
  </sheetViews>
  <sheetFormatPr defaultRowHeight="14.4" x14ac:dyDescent="0.3"/>
  <sheetData>
    <row r="1" spans="1:26" x14ac:dyDescent="0.3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5"/>
    </row>
    <row r="2" spans="1:26" x14ac:dyDescent="0.3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5"/>
    </row>
    <row r="3" spans="1:26" x14ac:dyDescent="0.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5"/>
    </row>
    <row r="4" spans="1:26" x14ac:dyDescent="0.3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5"/>
    </row>
    <row r="5" spans="1:26" x14ac:dyDescent="0.3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5"/>
    </row>
    <row r="6" spans="1:26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5"/>
    </row>
    <row r="7" spans="1:26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5"/>
    </row>
    <row r="8" spans="1:26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5"/>
    </row>
    <row r="9" spans="1:26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5"/>
    </row>
    <row r="10" spans="1:26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5"/>
    </row>
    <row r="11" spans="1:26" x14ac:dyDescent="0.3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5"/>
    </row>
    <row r="12" spans="1:26" x14ac:dyDescent="0.3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5"/>
    </row>
    <row r="13" spans="1:26" x14ac:dyDescent="0.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5"/>
    </row>
    <row r="14" spans="1:26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5"/>
    </row>
    <row r="15" spans="1:26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5"/>
    </row>
    <row r="16" spans="1:26" x14ac:dyDescent="0.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5"/>
    </row>
    <row r="17" spans="1:26" x14ac:dyDescent="0.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5"/>
    </row>
    <row r="18" spans="1:26" x14ac:dyDescent="0.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5"/>
    </row>
    <row r="19" spans="1:26" x14ac:dyDescent="0.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5"/>
    </row>
    <row r="20" spans="1:26" x14ac:dyDescent="0.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5"/>
    </row>
    <row r="21" spans="1:26" x14ac:dyDescent="0.3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5"/>
    </row>
    <row r="22" spans="1:26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5"/>
    </row>
    <row r="23" spans="1:26" x14ac:dyDescent="0.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5"/>
    </row>
    <row r="24" spans="1:26" x14ac:dyDescent="0.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5"/>
    </row>
    <row r="25" spans="1:26" x14ac:dyDescent="0.3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5"/>
    </row>
    <row r="26" spans="1:26" x14ac:dyDescent="0.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5"/>
    </row>
    <row r="27" spans="1:26" x14ac:dyDescent="0.3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5"/>
    </row>
    <row r="28" spans="1:26" x14ac:dyDescent="0.3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5"/>
    </row>
    <row r="29" spans="1:26" x14ac:dyDescent="0.3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5"/>
    </row>
    <row r="30" spans="1:26" x14ac:dyDescent="0.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5"/>
    </row>
    <row r="31" spans="1:26" x14ac:dyDescent="0.3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5"/>
    </row>
    <row r="32" spans="1:26" x14ac:dyDescent="0.3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5"/>
    </row>
    <row r="33" spans="1:26" x14ac:dyDescent="0.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5"/>
    </row>
    <row r="34" spans="1:26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5"/>
    </row>
    <row r="35" spans="1:26" x14ac:dyDescent="0.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5"/>
    </row>
    <row r="36" spans="1:26" x14ac:dyDescent="0.3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5"/>
    </row>
    <row r="37" spans="1:26" x14ac:dyDescent="0.3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263D-41F2-48DF-81F4-AF83519E09F8}">
  <dimension ref="A2:AC146"/>
  <sheetViews>
    <sheetView showGridLines="0" zoomScale="60" zoomScaleNormal="60" workbookViewId="0">
      <selection sqref="A1:XFD1048576"/>
    </sheetView>
  </sheetViews>
  <sheetFormatPr defaultRowHeight="14.4" x14ac:dyDescent="0.3"/>
  <cols>
    <col min="1" max="1" width="25.109375" style="4" customWidth="1"/>
    <col min="2" max="2" width="41.5546875" style="2" bestFit="1" customWidth="1"/>
    <col min="3" max="3" width="50.88671875" style="2" bestFit="1" customWidth="1"/>
    <col min="4" max="4" width="33.109375" style="2" bestFit="1" customWidth="1"/>
    <col min="5" max="5" width="20.88671875" style="2" bestFit="1" customWidth="1"/>
    <col min="6" max="6" width="24.77734375" style="14" bestFit="1" customWidth="1"/>
    <col min="8" max="8" width="48.6640625" bestFit="1" customWidth="1"/>
    <col min="9" max="9" width="2.5546875" style="2" bestFit="1" customWidth="1"/>
    <col min="10" max="10" width="10.44140625" style="2" bestFit="1" customWidth="1"/>
    <col min="11" max="11" width="2.5546875" style="2" bestFit="1" customWidth="1"/>
    <col min="12" max="12" width="11.21875" style="2" bestFit="1" customWidth="1"/>
    <col min="13" max="13" width="2.5546875" style="2" bestFit="1" customWidth="1"/>
    <col min="14" max="14" width="7.6640625" style="2" bestFit="1" customWidth="1"/>
    <col min="15" max="15" width="2.5546875" style="2" bestFit="1" customWidth="1"/>
    <col min="16" max="16" width="16" style="21" bestFit="1" customWidth="1"/>
    <col min="17" max="17" width="6.21875" style="12" bestFit="1" customWidth="1"/>
    <col min="18" max="18" width="13.6640625" style="2" bestFit="1" customWidth="1"/>
    <col min="19" max="19" width="8.77734375" style="21" bestFit="1" customWidth="1"/>
    <col min="21" max="21" width="41.77734375" style="12" bestFit="1" customWidth="1"/>
    <col min="22" max="22" width="12" bestFit="1" customWidth="1"/>
    <col min="25" max="25" width="5.6640625" bestFit="1" customWidth="1"/>
    <col min="27" max="27" width="18.21875" bestFit="1" customWidth="1"/>
    <col min="29" max="29" width="7.88671875" bestFit="1" customWidth="1"/>
  </cols>
  <sheetData>
    <row r="2" spans="1:29" x14ac:dyDescent="0.3">
      <c r="A2" s="67" t="s">
        <v>0</v>
      </c>
      <c r="B2" s="67"/>
      <c r="C2" s="67"/>
      <c r="D2" s="67"/>
      <c r="E2" s="67"/>
      <c r="F2" s="67"/>
    </row>
    <row r="3" spans="1:29" ht="15" thickBot="1" x14ac:dyDescent="0.35">
      <c r="R3" s="2" t="s">
        <v>76</v>
      </c>
      <c r="S3" s="25" t="s">
        <v>77</v>
      </c>
      <c r="U3" s="12" t="s">
        <v>87</v>
      </c>
    </row>
    <row r="4" spans="1:29" ht="15" thickBot="1" x14ac:dyDescent="0.35">
      <c r="A4" s="5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5" t="s">
        <v>6</v>
      </c>
      <c r="H4" t="s">
        <v>72</v>
      </c>
      <c r="I4" s="2" t="s">
        <v>73</v>
      </c>
      <c r="J4" s="13" t="str">
        <f>TRUNC(SUMIF(A4:A8,"Residential Load",F4:F8),3)&amp;"(0.6)"</f>
        <v>448.5(0.6)</v>
      </c>
      <c r="K4" s="2" t="s">
        <v>74</v>
      </c>
      <c r="L4" s="13" t="str">
        <f>TRUNC(SUMIF(A4:A8,"Commercial Load",F4:F8),3)&amp;"(0.7)"</f>
        <v>179.4(0.7)</v>
      </c>
      <c r="M4" s="2" t="s">
        <v>74</v>
      </c>
      <c r="N4" s="13" t="str">
        <f>TRUNC(SUMIF(A4:A8,"Industrial Load",F4:F8),3)&amp;"(0.65)"</f>
        <v>0(0.65)</v>
      </c>
      <c r="O4" s="2" t="str">
        <f>"="</f>
        <v>=</v>
      </c>
      <c r="P4" s="20">
        <f>((SUMIF(A4:A8,"Residential Load",F4:F8)*MID(J4,LEN(J4)-3,3))/J5)+((SUMIF(A4:A8,"Commercial Load",F4:F8)*MID(L4,LEN(L4)-3,3))/L5)+((SUMIF(A4:A8,"Industrial Load",F4:F8)*MID(N4,LEN(N4)-3,3))/N5)</f>
        <v>220.56369863013697</v>
      </c>
      <c r="Q4" s="22" t="s">
        <v>75</v>
      </c>
      <c r="R4" s="2">
        <v>0.9</v>
      </c>
      <c r="S4" s="21">
        <f>P4/R4</f>
        <v>245.07077625570773</v>
      </c>
      <c r="U4" s="12" t="s">
        <v>88</v>
      </c>
      <c r="V4" s="12"/>
      <c r="Y4">
        <f>MID(U4,9,SEARCH("T",U4,1)-14)*1</f>
        <v>300</v>
      </c>
    </row>
    <row r="5" spans="1:29" x14ac:dyDescent="0.3">
      <c r="A5" s="4" t="s">
        <v>7</v>
      </c>
      <c r="B5" s="2">
        <v>130</v>
      </c>
      <c r="C5" s="2">
        <v>15</v>
      </c>
      <c r="D5" s="2">
        <v>1</v>
      </c>
      <c r="E5" s="2">
        <v>230</v>
      </c>
      <c r="F5" s="14">
        <f>Table1[[#This Row],[NO. OF ESTABLISHMENTS]]*Table1[[#This Row],[ESTIMATED AVERAGE AMPACITY]]*Table1[[#This Row],[VOLTAGE]]/1000</f>
        <v>448.5</v>
      </c>
      <c r="J5" s="2">
        <v>2</v>
      </c>
      <c r="L5" s="2">
        <v>1.46</v>
      </c>
      <c r="N5" s="2">
        <v>0.86</v>
      </c>
      <c r="V5" s="12"/>
      <c r="W5" s="12"/>
      <c r="AA5" t="s">
        <v>1</v>
      </c>
    </row>
    <row r="6" spans="1:29" x14ac:dyDescent="0.3">
      <c r="A6" s="4" t="s">
        <v>8</v>
      </c>
      <c r="B6" s="2">
        <v>12</v>
      </c>
      <c r="C6" s="2">
        <v>65</v>
      </c>
      <c r="D6" s="2">
        <v>1</v>
      </c>
      <c r="E6" s="2">
        <v>230</v>
      </c>
      <c r="F6" s="14">
        <f>Table1[[#This Row],[NO. OF ESTABLISHMENTS]]*Table1[[#This Row],[ESTIMATED AVERAGE AMPACITY]]*Table1[[#This Row],[VOLTAGE]]/1000</f>
        <v>179.4</v>
      </c>
      <c r="AA6" t="s">
        <v>7</v>
      </c>
      <c r="AC6">
        <f ca="1">SUMIF($A$4:$F$145,AA6,$F$4:$F$145)</f>
        <v>9142.5</v>
      </c>
    </row>
    <row r="7" spans="1:29" x14ac:dyDescent="0.3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14">
        <f>Table1[[#This Row],[NO. OF ESTABLISHMENTS]]*Table1[[#This Row],[ESTIMATED AVERAGE AMPACITY]]*Table1[[#This Row],[VOLTAGE]]/1000</f>
        <v>0</v>
      </c>
      <c r="P7" s="24" t="str">
        <f>IF((COUNTIF(A4:A8,"Commercial Load (Bulk)")&gt;0),(LOOKUP("Commercial Load (Bulk)",A4:A8,F4:F8)*MID(J7,LEN(J7)-3,3))/J8,IF(COUNTIF(A4:A8,"Industrial Load (Bulk)")&gt;0,(LOOKUP("Industrial Load (Bulk)",A4:A8,F4:F8)*MID(J7,LEN(J7)-3,3))/J8,""))</f>
        <v/>
      </c>
      <c r="S7" s="21" t="str">
        <f>IF(ISBLANK(R7),"",P7/R7)</f>
        <v/>
      </c>
      <c r="AA7" t="s">
        <v>8</v>
      </c>
      <c r="AC7">
        <f t="shared" ref="AC7:AC8" ca="1" si="0">SUMIF($A$4:$F$145,AA7,$F$4:$F$145)</f>
        <v>6814.9</v>
      </c>
    </row>
    <row r="8" spans="1:29" x14ac:dyDescent="0.3">
      <c r="J8" s="23"/>
      <c r="AA8" t="s">
        <v>9</v>
      </c>
      <c r="AC8">
        <f t="shared" ca="1" si="0"/>
        <v>0</v>
      </c>
    </row>
    <row r="10" spans="1:29" x14ac:dyDescent="0.3">
      <c r="A10" s="67" t="s">
        <v>10</v>
      </c>
      <c r="B10" s="67"/>
      <c r="C10" s="67"/>
      <c r="D10" s="67"/>
      <c r="E10" s="67"/>
      <c r="F10" s="67"/>
    </row>
    <row r="11" spans="1:29" ht="15" thickBot="1" x14ac:dyDescent="0.35">
      <c r="R11" s="2" t="s">
        <v>76</v>
      </c>
      <c r="S11" s="25" t="s">
        <v>77</v>
      </c>
    </row>
    <row r="12" spans="1:29" ht="15" thickBot="1" x14ac:dyDescent="0.35">
      <c r="A12" s="5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5" t="s">
        <v>6</v>
      </c>
      <c r="H12" t="s">
        <v>72</v>
      </c>
      <c r="I12" s="2" t="s">
        <v>73</v>
      </c>
      <c r="J12" s="13" t="str">
        <f>TRUNC(SUMIF(A12:A16,"Residential Load",F12:F16),3)&amp;"(0.6)"</f>
        <v>552(0.6)</v>
      </c>
      <c r="K12" s="2" t="s">
        <v>74</v>
      </c>
      <c r="L12" s="13" t="str">
        <f>TRUNC(SUMIF(A12:A16,"Commercial Load",F12:F16),3)&amp;"(0.7)"</f>
        <v>299(0.7)</v>
      </c>
      <c r="M12" s="2" t="s">
        <v>74</v>
      </c>
      <c r="N12" s="13" t="str">
        <f>TRUNC(SUMIF(A12:A16,"Industrial Load",F12:F16),3)&amp;"(0.65)"</f>
        <v>0(0.65)</v>
      </c>
      <c r="O12" s="2" t="str">
        <f>"="</f>
        <v>=</v>
      </c>
      <c r="P12" s="20">
        <f>((SUMIF(A12:A16,"Residential Load",F12:F16)*MID(J12,LEN(J12)-3,3))/J13)+((SUMIF(A12:A16,"Commercial Load",F12:F16)*MID(L12,LEN(L12)-3,3))/L13)+((SUMIF(A12:A16,"Industrial Load",F12:F16)*MID(N12,LEN(N12)-3,3))/N13)</f>
        <v>308.9561643835616</v>
      </c>
      <c r="Q12" s="22" t="s">
        <v>75</v>
      </c>
      <c r="R12" s="2">
        <v>0.9</v>
      </c>
      <c r="S12" s="21">
        <f>P12/R12</f>
        <v>343.28462709284622</v>
      </c>
      <c r="U12" s="12" t="s">
        <v>89</v>
      </c>
      <c r="Y12">
        <f>MID(U12,9,SEARCH("T",U12,1)-14)*1</f>
        <v>450</v>
      </c>
    </row>
    <row r="13" spans="1:29" x14ac:dyDescent="0.3">
      <c r="A13" s="4" t="s">
        <v>7</v>
      </c>
      <c r="B13" s="2">
        <v>120</v>
      </c>
      <c r="C13" s="2">
        <v>20</v>
      </c>
      <c r="D13" s="2">
        <v>1</v>
      </c>
      <c r="E13" s="2">
        <v>230</v>
      </c>
      <c r="F13" s="14">
        <f>Table15[[#This Row],[NO. OF ESTABLISHMENTS]]*Table15[[#This Row],[ESTIMATED AVERAGE AMPACITY]]*Table15[[#This Row],[VOLTAGE]]/1000</f>
        <v>552</v>
      </c>
      <c r="J13" s="2">
        <v>2</v>
      </c>
      <c r="L13" s="2">
        <v>1.46</v>
      </c>
      <c r="N13" s="2">
        <v>0.86</v>
      </c>
    </row>
    <row r="14" spans="1:29" x14ac:dyDescent="0.3">
      <c r="A14" s="4" t="s">
        <v>8</v>
      </c>
      <c r="B14" s="2">
        <v>20</v>
      </c>
      <c r="C14" s="2">
        <v>65</v>
      </c>
      <c r="D14" s="2">
        <v>1</v>
      </c>
      <c r="E14" s="2">
        <v>230</v>
      </c>
      <c r="F14" s="14">
        <f>Table15[[#This Row],[NO. OF ESTABLISHMENTS]]*Table15[[#This Row],[ESTIMATED AVERAGE AMPACITY]]*Table15[[#This Row],[VOLTAGE]]/1000</f>
        <v>299</v>
      </c>
    </row>
    <row r="15" spans="1:29" x14ac:dyDescent="0.3">
      <c r="A15" s="4" t="s">
        <v>9</v>
      </c>
      <c r="B15" s="2">
        <v>0</v>
      </c>
      <c r="C15" s="2">
        <v>0</v>
      </c>
      <c r="D15" s="2">
        <v>0</v>
      </c>
      <c r="E15" s="2">
        <v>0</v>
      </c>
      <c r="F15" s="14">
        <f>Table15[[#This Row],[NO. OF ESTABLISHMENTS]]*Table15[[#This Row],[ESTIMATED AVERAGE AMPACITY]]*Table15[[#This Row],[VOLTAGE]]/1000</f>
        <v>0</v>
      </c>
      <c r="H15" t="s">
        <v>79</v>
      </c>
      <c r="I15" s="2" t="str">
        <f>"="</f>
        <v>=</v>
      </c>
      <c r="J15" s="2" t="str">
        <f>IF((COUNTIF(A12:A16,"Commercial Load (Bulk)")&gt;0),TRUNC(LOOKUP("Commercial Load (Bulk)",A12:A16,F12:F16))&amp;"(0.7)",IF(COUNTIF(A12:A16,"Industrial Load (Bulk)")&gt;0,TRUNC(LOOKUP("Industrial Load (Bulk)",A12:A16,F12:F16))&amp;"(0.7)",""))</f>
        <v/>
      </c>
      <c r="P15" s="24" t="str">
        <f>IF((COUNTIF(A12:A16,"Commercial Load (Bulk)")&gt;0),(LOOKUP("Commercial Load (Bulk)",A12:A16,F12:F16)*MID(J15,LEN(J15)-3,3))/J16,IF(COUNTIF(A12:A16,"Industrial Load (Bulk)")&gt;0,(LOOKUP("Industrial Load (Bulk)",A12:A16,F12:F16)*MID(J15,LEN(J15)-3,3))/J16,""))</f>
        <v/>
      </c>
      <c r="S15" s="21" t="str">
        <f>IF(ISBLANK(R15),"",P15/R15)</f>
        <v/>
      </c>
    </row>
    <row r="16" spans="1:29" x14ac:dyDescent="0.3">
      <c r="J16" s="23" t="str">
        <f>IF((COUNTIF(A12:A16,"Commercial Load (Bulk)")&gt;0),"0.9",IF(COUNTIF(A12:A16,"Industrial Load (Bulk)")&gt;0,"0.9",""))</f>
        <v/>
      </c>
    </row>
    <row r="18" spans="1:25" x14ac:dyDescent="0.3">
      <c r="A18" s="67" t="s">
        <v>11</v>
      </c>
      <c r="B18" s="67"/>
      <c r="C18" s="67"/>
      <c r="D18" s="67"/>
      <c r="E18" s="67"/>
      <c r="F18" s="67"/>
    </row>
    <row r="19" spans="1:25" ht="15" thickBot="1" x14ac:dyDescent="0.35">
      <c r="R19" s="2" t="s">
        <v>76</v>
      </c>
      <c r="S19" s="25" t="s">
        <v>77</v>
      </c>
    </row>
    <row r="20" spans="1:25" ht="15" thickBot="1" x14ac:dyDescent="0.35">
      <c r="A20" s="5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5" t="s">
        <v>6</v>
      </c>
      <c r="H20" t="s">
        <v>72</v>
      </c>
      <c r="I20" s="2" t="s">
        <v>73</v>
      </c>
      <c r="J20" s="13" t="str">
        <f>TRUNC(SUMIF(A20:A24,"Residential Load",F20:F24),3)&amp;"(0.6)"</f>
        <v>1472(0.6)</v>
      </c>
      <c r="K20" s="2" t="s">
        <v>74</v>
      </c>
      <c r="L20" s="13" t="str">
        <f>TRUNC(SUMIF(A20:A24,"Commercial Load",F20:F24),3)&amp;"(0.7)"</f>
        <v>690(0.7)</v>
      </c>
      <c r="M20" s="2" t="s">
        <v>74</v>
      </c>
      <c r="N20" s="13" t="str">
        <f>TRUNC(SUMIF(A20:A24,"Industrial Load",F20:F24),3)&amp;"(0.65)"</f>
        <v>0(0.65)</v>
      </c>
      <c r="O20" s="2" t="str">
        <f>"="</f>
        <v>=</v>
      </c>
      <c r="P20" s="20">
        <f>((SUMIF(A20:A24,"Residential Load",F20:F24)*MID(J20,LEN(J20)-3,3))/J21)+((SUMIF(A20:A24,"Commercial Load",F20:F24)*MID(L20,LEN(L20)-3,3))/L21)+((SUMIF(A20:A24,"Industrial Load",F20:F24)*MID(N20,LEN(N20)-3,3))/N21)</f>
        <v>772.42191780821918</v>
      </c>
      <c r="Q20" s="22" t="s">
        <v>75</v>
      </c>
      <c r="R20" s="2">
        <v>0.9</v>
      </c>
      <c r="S20" s="21">
        <f>P20/R20</f>
        <v>858.24657534246569</v>
      </c>
      <c r="U20" s="12" t="s">
        <v>90</v>
      </c>
      <c r="Y20">
        <f>MID(U20,9,SEARCH("T",U20,1)-14)*1</f>
        <v>1000</v>
      </c>
    </row>
    <row r="21" spans="1:25" x14ac:dyDescent="0.3">
      <c r="A21" s="4" t="s">
        <v>7</v>
      </c>
      <c r="B21" s="2">
        <v>160</v>
      </c>
      <c r="C21" s="2">
        <v>40</v>
      </c>
      <c r="D21" s="2">
        <v>1</v>
      </c>
      <c r="E21" s="2">
        <v>230</v>
      </c>
      <c r="F21" s="14">
        <f>Table16[[#This Row],[NO. OF ESTABLISHMENTS]]*Table16[[#This Row],[ESTIMATED AVERAGE AMPACITY]]*Table16[[#This Row],[VOLTAGE]]/1000</f>
        <v>1472</v>
      </c>
      <c r="J21" s="2">
        <v>2</v>
      </c>
      <c r="L21" s="2">
        <v>1.46</v>
      </c>
      <c r="N21" s="2">
        <v>0.86</v>
      </c>
    </row>
    <row r="22" spans="1:25" ht="15" thickBot="1" x14ac:dyDescent="0.35">
      <c r="A22" s="4" t="s">
        <v>8</v>
      </c>
      <c r="B22" s="2">
        <v>40</v>
      </c>
      <c r="C22" s="2">
        <v>75</v>
      </c>
      <c r="D22" s="2">
        <v>1</v>
      </c>
      <c r="E22" s="2">
        <v>230</v>
      </c>
      <c r="F22" s="14">
        <f>Table16[[#This Row],[NO. OF ESTABLISHMENTS]]*Table16[[#This Row],[ESTIMATED AVERAGE AMPACITY]]*Table16[[#This Row],[VOLTAGE]]/1000</f>
        <v>690</v>
      </c>
    </row>
    <row r="23" spans="1:25" ht="15" thickBot="1" x14ac:dyDescent="0.35">
      <c r="A23" s="4" t="s">
        <v>78</v>
      </c>
      <c r="B23" s="2">
        <v>1</v>
      </c>
      <c r="C23" s="2">
        <v>3000</v>
      </c>
      <c r="D23" s="2">
        <v>3</v>
      </c>
      <c r="E23" s="2">
        <v>400</v>
      </c>
      <c r="F23" s="14">
        <f>SQRT(3)*Table16[[#This Row],[NO. OF ESTABLISHMENTS]]*Table16[[#This Row],[ESTIMATED AVERAGE AMPACITY]]*Table16[[#This Row],[VOLTAGE]]/1000</f>
        <v>2078.4609690826528</v>
      </c>
      <c r="H23" t="s">
        <v>79</v>
      </c>
      <c r="I23" s="2" t="str">
        <f>"="</f>
        <v>=</v>
      </c>
      <c r="J23" s="2" t="str">
        <f>IF((COUNTIF(A20:A24,"Commercial Load (Bulk)")&gt;0),TRUNC(LOOKUP("Commercial Load (Bulk)",A20:A24,F20:F24))&amp;"(0.7)",IF(COUNTIF(A20:A24,"Industrial Load (Bulk)")&gt;0,TRUNC(LOOKUP("Industrial Load (Bulk)",A20:A24,F20:F24))&amp;"(0.7)",""))</f>
        <v>2078(0.7)</v>
      </c>
      <c r="P23" s="30">
        <f>IF((COUNTIF(A20:A24,"Commercial Load (Bulk)")&gt;0),(LOOKUP("Commercial Load (Bulk)",A20:A24,F20:F24)*MID(J23,LEN(J23)-3,3))/J24,IF(COUNTIF(A20:A24,"Industrial Load (Bulk)")&gt;0,(LOOKUP("Industrial Load (Bulk)",A20:A24,F20:F24)*MID(J23,LEN(J23)-3,3))/J24,""))</f>
        <v>1616.5807537309522</v>
      </c>
      <c r="Q23" s="22" t="s">
        <v>77</v>
      </c>
      <c r="S23" s="21" t="str">
        <f>IF(ISBLANK(R23),"",P23/R23)</f>
        <v/>
      </c>
      <c r="U23" s="12" t="s">
        <v>154</v>
      </c>
      <c r="Y23">
        <f>MID(U23,9,SEARCH("T",U23,1)-14)*1</f>
        <v>2000</v>
      </c>
    </row>
    <row r="24" spans="1:25" x14ac:dyDescent="0.3">
      <c r="A24" s="4" t="s">
        <v>9</v>
      </c>
      <c r="B24" s="2">
        <v>0</v>
      </c>
      <c r="C24" s="2">
        <v>0</v>
      </c>
      <c r="D24" s="2">
        <v>0</v>
      </c>
      <c r="E24" s="2">
        <v>0</v>
      </c>
      <c r="F24" s="14">
        <f>SQRT(3)*Table16[[#This Row],[NO. OF ESTABLISHMENTS]]*Table16[[#This Row],[ESTIMATED AVERAGE AMPACITY]]*Table16[[#This Row],[VOLTAGE]]/1000</f>
        <v>0</v>
      </c>
      <c r="J24" s="23" t="str">
        <f>IF((COUNTIF(A20:A24,"Commercial Load (Bulk)")&gt;0),"0.9",IF(COUNTIF(A20:A24,"Industrial Load (Bulk)")&gt;0,"0.9",""))</f>
        <v>0.9</v>
      </c>
    </row>
    <row r="27" spans="1:25" x14ac:dyDescent="0.3">
      <c r="A27" s="67" t="s">
        <v>12</v>
      </c>
      <c r="B27" s="67"/>
      <c r="C27" s="67"/>
      <c r="D27" s="67"/>
      <c r="E27" s="67"/>
      <c r="F27" s="67"/>
    </row>
    <row r="28" spans="1:25" ht="15" thickBot="1" x14ac:dyDescent="0.35">
      <c r="R28" s="2" t="s">
        <v>76</v>
      </c>
      <c r="S28" s="25" t="s">
        <v>77</v>
      </c>
    </row>
    <row r="29" spans="1:25" ht="15" thickBot="1" x14ac:dyDescent="0.35">
      <c r="A29" s="5" t="s">
        <v>1</v>
      </c>
      <c r="B29" s="1" t="s">
        <v>2</v>
      </c>
      <c r="C29" s="1" t="s">
        <v>3</v>
      </c>
      <c r="D29" s="1" t="s">
        <v>4</v>
      </c>
      <c r="E29" s="1" t="s">
        <v>5</v>
      </c>
      <c r="F29" s="15" t="s">
        <v>6</v>
      </c>
      <c r="H29" t="s">
        <v>72</v>
      </c>
      <c r="I29" s="2" t="s">
        <v>73</v>
      </c>
      <c r="J29" s="13" t="str">
        <f>TRUNC(SUMIF(A29:A33,"Residential Load",F29:F33),3)&amp;"(0.6)"</f>
        <v>276(0.6)</v>
      </c>
      <c r="K29" s="2" t="s">
        <v>74</v>
      </c>
      <c r="L29" s="13" t="str">
        <f>TRUNC(SUMIF(A29:A33,"Commercial Load",F29:F33),3)&amp;"(0.7)"</f>
        <v>241.5(0.7)</v>
      </c>
      <c r="M29" s="2" t="s">
        <v>74</v>
      </c>
      <c r="N29" s="13" t="str">
        <f>TRUNC(SUMIF(A29:A33,"Industrial Load",F29:F33),3)&amp;"(0.65)"</f>
        <v>0(0.65)</v>
      </c>
      <c r="O29" s="2" t="str">
        <f>"="</f>
        <v>=</v>
      </c>
      <c r="P29" s="20">
        <f>((SUMIF(A29:A33,"Residential Load",F29:F33)*MID(J29,LEN(J29)-3,3))/J30)+((SUMIF(A29:A33,"Commercial Load",F29:F33)*MID(L29,LEN(L29)-3,3))/L30)+((SUMIF(A29:A33,"Industrial Load",F29:F33)*MID(N29,LEN(N29)-3,3))/N30)</f>
        <v>198.58767123287669</v>
      </c>
      <c r="Q29" s="22" t="s">
        <v>75</v>
      </c>
      <c r="R29" s="2">
        <v>0.9</v>
      </c>
      <c r="S29" s="21">
        <f>P29/R29</f>
        <v>220.65296803652964</v>
      </c>
      <c r="U29" s="12" t="s">
        <v>97</v>
      </c>
      <c r="Y29">
        <f>MID(U29,9,SEARCH("T",U29,1)-14)*1</f>
        <v>225</v>
      </c>
    </row>
    <row r="30" spans="1:25" x14ac:dyDescent="0.3">
      <c r="A30" s="4" t="s">
        <v>7</v>
      </c>
      <c r="B30" s="2">
        <v>80</v>
      </c>
      <c r="C30" s="2">
        <v>15</v>
      </c>
      <c r="D30" s="2">
        <v>1</v>
      </c>
      <c r="E30" s="2">
        <v>230</v>
      </c>
      <c r="F30" s="14">
        <f>Table17[[#This Row],[NO. OF ESTABLISHMENTS]]*Table17[[#This Row],[ESTIMATED AVERAGE AMPACITY]]*Table17[[#This Row],[VOLTAGE]]/1000</f>
        <v>276</v>
      </c>
      <c r="J30" s="2">
        <v>2</v>
      </c>
      <c r="L30" s="2">
        <v>1.46</v>
      </c>
      <c r="N30" s="2">
        <v>0.86</v>
      </c>
    </row>
    <row r="31" spans="1:25" x14ac:dyDescent="0.3">
      <c r="A31" s="4" t="s">
        <v>8</v>
      </c>
      <c r="B31" s="2">
        <v>15</v>
      </c>
      <c r="C31" s="2">
        <v>70</v>
      </c>
      <c r="D31" s="2">
        <v>1</v>
      </c>
      <c r="E31" s="2">
        <v>230</v>
      </c>
      <c r="F31" s="14">
        <f>Table17[[#This Row],[NO. OF ESTABLISHMENTS]]*Table17[[#This Row],[ESTIMATED AVERAGE AMPACITY]]*Table17[[#This Row],[VOLTAGE]]/1000</f>
        <v>241.5</v>
      </c>
    </row>
    <row r="32" spans="1:25" x14ac:dyDescent="0.3">
      <c r="A32" s="4" t="s">
        <v>9</v>
      </c>
      <c r="B32" s="2">
        <v>0</v>
      </c>
      <c r="C32" s="2">
        <v>0</v>
      </c>
      <c r="D32" s="2">
        <v>0</v>
      </c>
      <c r="E32" s="2">
        <v>0</v>
      </c>
      <c r="F32" s="14">
        <f>Table17[[#This Row],[NO. OF ESTABLISHMENTS]]*Table17[[#This Row],[ESTIMATED AVERAGE AMPACITY]]*Table17[[#This Row],[VOLTAGE]]/1000</f>
        <v>0</v>
      </c>
      <c r="H32" t="s">
        <v>79</v>
      </c>
      <c r="I32" s="2" t="str">
        <f>"="</f>
        <v>=</v>
      </c>
      <c r="J32" s="2" t="str">
        <f>IF((COUNTIF(A29:A33,"Commercial Load (Bulk)")&gt;0),TRUNC(LOOKUP("Commercial Load (Bulk)",A29:A33,F29:F33))&amp;"(0.7)",IF(COUNTIF(A29:A33,"Industrial Load (Bulk)")&gt;0,TRUNC(LOOKUP("Industrial Load (Bulk)",A29:A33,F29:F33))&amp;"(0.7)",""))</f>
        <v/>
      </c>
      <c r="P32" s="24" t="str">
        <f>IF((COUNTIF(A29:A33,"Commercial Load (Bulk)")&gt;0),(LOOKUP("Commercial Load (Bulk)",A29:A33,F29:F33)*MID(J32,LEN(J32)-3,3))/J33,IF(COUNTIF(A29:A33,"Industrial Load (Bulk)")&gt;0,(LOOKUP("Industrial Load (Bulk)",A29:A33,F29:F33)*MID(J32,LEN(J32)-3,3))/J33,""))</f>
        <v/>
      </c>
      <c r="S32" s="21" t="str">
        <f>IF(ISBLANK(R32),"",P32/R32)</f>
        <v/>
      </c>
    </row>
    <row r="33" spans="1:25" x14ac:dyDescent="0.3">
      <c r="J33" s="23" t="str">
        <f>IF((COUNTIF(A29:A33,"Commercial Load (Bulk)")&gt;0),"0.9",IF(COUNTIF(A29:A33,"Industrial Load (Bulk)")&gt;0,"0.9",""))</f>
        <v/>
      </c>
    </row>
    <row r="35" spans="1:25" x14ac:dyDescent="0.3">
      <c r="A35" s="67" t="s">
        <v>13</v>
      </c>
      <c r="B35" s="67"/>
      <c r="C35" s="67"/>
      <c r="D35" s="67"/>
      <c r="E35" s="67"/>
      <c r="F35" s="67"/>
    </row>
    <row r="36" spans="1:25" ht="15" thickBot="1" x14ac:dyDescent="0.35">
      <c r="R36" s="2" t="s">
        <v>76</v>
      </c>
      <c r="S36" s="25" t="s">
        <v>77</v>
      </c>
    </row>
    <row r="37" spans="1:25" ht="15" thickBot="1" x14ac:dyDescent="0.35">
      <c r="A37" s="5" t="s">
        <v>1</v>
      </c>
      <c r="B37" s="1" t="s">
        <v>2</v>
      </c>
      <c r="C37" s="1" t="s">
        <v>3</v>
      </c>
      <c r="D37" s="1" t="s">
        <v>4</v>
      </c>
      <c r="E37" s="1" t="s">
        <v>5</v>
      </c>
      <c r="F37" s="15" t="s">
        <v>6</v>
      </c>
      <c r="H37" t="s">
        <v>72</v>
      </c>
      <c r="I37" s="2" t="s">
        <v>73</v>
      </c>
      <c r="J37" s="13" t="str">
        <f>TRUNC(SUMIF(A37:A41,"Residential Load",F37:F41),3)&amp;"(0.6)"</f>
        <v>276(0.6)</v>
      </c>
      <c r="K37" s="2" t="s">
        <v>74</v>
      </c>
      <c r="L37" s="13" t="str">
        <f>TRUNC(SUMIF(A37:A41,"Commercial Load",F37:F41),3)&amp;"(0.7)"</f>
        <v>276(0.7)</v>
      </c>
      <c r="M37" s="2" t="s">
        <v>74</v>
      </c>
      <c r="N37" s="13" t="str">
        <f>TRUNC(SUMIF(A37:A41,"Industrial Load",F37:F41),3)&amp;"(0.65)"</f>
        <v>0(0.65)</v>
      </c>
      <c r="O37" s="2" t="str">
        <f>"="</f>
        <v>=</v>
      </c>
      <c r="P37" s="20">
        <f>((SUMIF(A37:A41,"Residential Load",F37:F41)*MID(J37,LEN(J37)-3,3))/J38)+((SUMIF(A37:A41,"Commercial Load",F37:F41)*MID(L37,LEN(L37)-3,3))/L38)+((SUMIF(A37:A41,"Industrial Load",F37:F41)*MID(N37,LEN(N37)-3,3))/N38)</f>
        <v>215.12876712328767</v>
      </c>
      <c r="Q37" s="22" t="s">
        <v>75</v>
      </c>
      <c r="R37" s="2">
        <v>0.9</v>
      </c>
      <c r="S37" s="21">
        <f>P37/R37</f>
        <v>239.03196347031962</v>
      </c>
      <c r="U37" s="12" t="s">
        <v>88</v>
      </c>
      <c r="Y37">
        <f>MID(U37,9,SEARCH("T",U37,1)-14)*1</f>
        <v>300</v>
      </c>
    </row>
    <row r="38" spans="1:25" x14ac:dyDescent="0.3">
      <c r="A38" s="4" t="s">
        <v>7</v>
      </c>
      <c r="B38" s="2">
        <v>60</v>
      </c>
      <c r="C38" s="2">
        <v>20</v>
      </c>
      <c r="D38" s="2">
        <v>1</v>
      </c>
      <c r="E38" s="2">
        <v>230</v>
      </c>
      <c r="F38" s="14">
        <f>Table158[[#This Row],[NO. OF ESTABLISHMENTS]]*Table158[[#This Row],[ESTIMATED AVERAGE AMPACITY]]*Table158[[#This Row],[VOLTAGE]]/1000</f>
        <v>276</v>
      </c>
      <c r="J38" s="2">
        <v>2</v>
      </c>
      <c r="L38" s="2">
        <v>1.46</v>
      </c>
      <c r="N38" s="2">
        <v>0.86</v>
      </c>
    </row>
    <row r="39" spans="1:25" x14ac:dyDescent="0.3">
      <c r="A39" s="4" t="s">
        <v>8</v>
      </c>
      <c r="B39" s="2">
        <v>15</v>
      </c>
      <c r="C39" s="2">
        <v>80</v>
      </c>
      <c r="D39" s="2">
        <v>1</v>
      </c>
      <c r="E39" s="2">
        <v>230</v>
      </c>
      <c r="F39" s="14">
        <f>Table158[[#This Row],[NO. OF ESTABLISHMENTS]]*Table158[[#This Row],[ESTIMATED AVERAGE AMPACITY]]*Table158[[#This Row],[VOLTAGE]]/1000</f>
        <v>276</v>
      </c>
    </row>
    <row r="40" spans="1:25" x14ac:dyDescent="0.3">
      <c r="A40" s="4" t="s">
        <v>9</v>
      </c>
      <c r="B40" s="2">
        <v>0</v>
      </c>
      <c r="C40" s="2">
        <v>0</v>
      </c>
      <c r="D40" s="2">
        <v>0</v>
      </c>
      <c r="E40" s="2">
        <v>0</v>
      </c>
      <c r="F40" s="14">
        <f>Table158[[#This Row],[NO. OF ESTABLISHMENTS]]*Table158[[#This Row],[ESTIMATED AVERAGE AMPACITY]]*Table158[[#This Row],[VOLTAGE]]/1000</f>
        <v>0</v>
      </c>
      <c r="H40" t="s">
        <v>79</v>
      </c>
      <c r="I40" s="2" t="str">
        <f>"="</f>
        <v>=</v>
      </c>
      <c r="J40" s="2" t="str">
        <f>IF((COUNTIF(A37:A41,"Commercial Load (Bulk)")&gt;0),TRUNC(LOOKUP("Commercial Load (Bulk)",A37:A41,F37:F41))&amp;"(0.7)",IF(COUNTIF(A37:A41,"Industrial Load (Bulk)")&gt;0,TRUNC(LOOKUP("Industrial Load (Bulk)",A37:A41,F37:F41))&amp;"(0.7)",""))</f>
        <v/>
      </c>
      <c r="P40" s="24" t="str">
        <f>IF((COUNTIF(A37:A41,"Commercial Load (Bulk)")&gt;0),(LOOKUP("Commercial Load (Bulk)",A37:A41,F37:F41)*MID(J40,LEN(J40)-3,3))/J41,IF(COUNTIF(A37:A41,"Industrial Load (Bulk)")&gt;0,(LOOKUP("Industrial Load (Bulk)",A37:A41,F37:F41)*MID(J40,LEN(J40)-3,3))/J41,""))</f>
        <v/>
      </c>
      <c r="S40" s="21" t="str">
        <f>IF(ISBLANK(R40),"",P40/R40)</f>
        <v/>
      </c>
    </row>
    <row r="41" spans="1:25" x14ac:dyDescent="0.3">
      <c r="J41" s="23" t="str">
        <f>IF((COUNTIF(A37:A41,"Commercial Load (Bulk)")&gt;0),"0.9",IF(COUNTIF(A37:A41,"Industrial Load (Bulk)")&gt;0,"0.9",""))</f>
        <v/>
      </c>
    </row>
    <row r="43" spans="1:25" x14ac:dyDescent="0.3">
      <c r="A43" s="67" t="s">
        <v>14</v>
      </c>
      <c r="B43" s="67"/>
      <c r="C43" s="67"/>
      <c r="D43" s="67"/>
      <c r="E43" s="67"/>
      <c r="F43" s="67"/>
    </row>
    <row r="44" spans="1:25" ht="15" thickBot="1" x14ac:dyDescent="0.35">
      <c r="R44" s="2" t="s">
        <v>76</v>
      </c>
      <c r="S44" s="25" t="s">
        <v>77</v>
      </c>
    </row>
    <row r="45" spans="1:25" ht="15" thickBot="1" x14ac:dyDescent="0.35">
      <c r="A45" s="5" t="s">
        <v>1</v>
      </c>
      <c r="B45" s="1" t="s">
        <v>2</v>
      </c>
      <c r="C45" s="1" t="s">
        <v>3</v>
      </c>
      <c r="D45" s="1" t="s">
        <v>4</v>
      </c>
      <c r="E45" s="1" t="s">
        <v>5</v>
      </c>
      <c r="F45" s="15" t="s">
        <v>6</v>
      </c>
      <c r="H45" t="s">
        <v>72</v>
      </c>
      <c r="I45" s="2" t="s">
        <v>73</v>
      </c>
      <c r="J45" s="13" t="str">
        <f>TRUNC(SUMIF(A45:A49,"Residential Load",F45:F49),3)&amp;"(0.6)"</f>
        <v>276(0.6)</v>
      </c>
      <c r="K45" s="2" t="s">
        <v>74</v>
      </c>
      <c r="L45" s="13" t="str">
        <f>TRUNC(SUMIF(A45:A49,"Commercial Load",F45:F49),3)&amp;"(0.7)"</f>
        <v>414(0.7)</v>
      </c>
      <c r="M45" s="2" t="s">
        <v>74</v>
      </c>
      <c r="N45" s="13" t="str">
        <f>TRUNC(SUMIF(A45:A49,"Industrial Load",F45:F49),3)&amp;"(0.65)"</f>
        <v>0(0.65)</v>
      </c>
      <c r="O45" s="2" t="str">
        <f>"="</f>
        <v>=</v>
      </c>
      <c r="P45" s="20">
        <f>((SUMIF(A45:A49,"Residential Load",F45:F49)*MID(J45,LEN(J45)-3,3))/J46)+((SUMIF(A45:A49,"Commercial Load",F45:F49)*MID(L45,LEN(L45)-3,3))/L46)+((SUMIF(A45:A49,"Industrial Load",F45:F49)*MID(N45,LEN(N45)-3,3))/N46)</f>
        <v>281.2931506849315</v>
      </c>
      <c r="Q45" s="22" t="s">
        <v>75</v>
      </c>
      <c r="R45" s="2">
        <v>0.9</v>
      </c>
      <c r="S45" s="21">
        <f>P45/R45</f>
        <v>312.54794520547944</v>
      </c>
      <c r="U45" s="12" t="s">
        <v>89</v>
      </c>
      <c r="Y45">
        <f>MID(U45,9,SEARCH("T",U45,1)-14)*1</f>
        <v>450</v>
      </c>
    </row>
    <row r="46" spans="1:25" x14ac:dyDescent="0.3">
      <c r="A46" s="4" t="s">
        <v>7</v>
      </c>
      <c r="B46" s="2">
        <v>40</v>
      </c>
      <c r="C46" s="2">
        <v>30</v>
      </c>
      <c r="D46" s="2">
        <v>1</v>
      </c>
      <c r="E46" s="2">
        <v>230</v>
      </c>
      <c r="F46" s="14">
        <f>Table169[[#This Row],[NO. OF ESTABLISHMENTS]]*Table169[[#This Row],[ESTIMATED AVERAGE AMPACITY]]*Table169[[#This Row],[VOLTAGE]]/1000</f>
        <v>276</v>
      </c>
      <c r="J46" s="2">
        <v>2</v>
      </c>
      <c r="L46" s="2">
        <v>1.46</v>
      </c>
      <c r="N46" s="2">
        <v>0.86</v>
      </c>
    </row>
    <row r="47" spans="1:25" x14ac:dyDescent="0.3">
      <c r="A47" s="4" t="s">
        <v>8</v>
      </c>
      <c r="B47" s="2">
        <v>20</v>
      </c>
      <c r="C47" s="2">
        <v>90</v>
      </c>
      <c r="D47" s="2">
        <v>1</v>
      </c>
      <c r="E47" s="2">
        <v>230</v>
      </c>
      <c r="F47" s="14">
        <f>Table169[[#This Row],[NO. OF ESTABLISHMENTS]]*Table169[[#This Row],[ESTIMATED AVERAGE AMPACITY]]*Table169[[#This Row],[VOLTAGE]]/1000</f>
        <v>414</v>
      </c>
    </row>
    <row r="48" spans="1:25" x14ac:dyDescent="0.3">
      <c r="A48" s="4" t="s">
        <v>9</v>
      </c>
      <c r="B48" s="2">
        <v>0</v>
      </c>
      <c r="C48" s="2">
        <v>0</v>
      </c>
      <c r="D48" s="2">
        <v>0</v>
      </c>
      <c r="E48" s="2">
        <v>0</v>
      </c>
      <c r="F48" s="14">
        <f>Table169[[#This Row],[NO. OF ESTABLISHMENTS]]*Table169[[#This Row],[ESTIMATED AVERAGE AMPACITY]]*Table169[[#This Row],[VOLTAGE]]/1000</f>
        <v>0</v>
      </c>
      <c r="H48" t="s">
        <v>79</v>
      </c>
      <c r="I48" s="2" t="str">
        <f>"="</f>
        <v>=</v>
      </c>
      <c r="J48" s="2" t="str">
        <f>IF((COUNTIF(A45:A49,"Commercial Load (Bulk)")&gt;0),TRUNC(LOOKUP("Commercial Load (Bulk)",A45:A49,F45:F49))&amp;"(0.7)",IF(COUNTIF(A45:A49,"Industrial Load (Bulk)")&gt;0,TRUNC(LOOKUP("Industrial Load (Bulk)",A45:A49,F45:F49))&amp;"(0.7)",""))</f>
        <v/>
      </c>
      <c r="P48" s="24" t="str">
        <f>IF((COUNTIF(A45:A49,"Commercial Load (Bulk)")&gt;0),(LOOKUP("Commercial Load (Bulk)",A45:A49,F45:F49)*MID(J48,LEN(J48)-3,3))/J49,IF(COUNTIF(A45:A49,"Industrial Load (Bulk)")&gt;0,(LOOKUP("Industrial Load (Bulk)",A45:A49,F45:F49)*MID(J48,LEN(J48)-3,3))/J49,""))</f>
        <v/>
      </c>
      <c r="S48" s="21" t="str">
        <f>IF(ISBLANK(R48),"",P48/R48)</f>
        <v/>
      </c>
    </row>
    <row r="49" spans="1:25" x14ac:dyDescent="0.3">
      <c r="J49" s="23" t="str">
        <f>IF((COUNTIF(A45:A49,"Commercial Load (Bulk)")&gt;0),"0.9",IF(COUNTIF(A45:A49,"Industrial Load (Bulk)")&gt;0,"0.9",""))</f>
        <v/>
      </c>
    </row>
    <row r="51" spans="1:25" x14ac:dyDescent="0.3">
      <c r="A51" s="67" t="s">
        <v>15</v>
      </c>
      <c r="B51" s="67"/>
      <c r="C51" s="67"/>
      <c r="D51" s="67"/>
      <c r="E51" s="67"/>
      <c r="F51" s="67"/>
    </row>
    <row r="52" spans="1:25" ht="15" thickBot="1" x14ac:dyDescent="0.35">
      <c r="R52" s="2" t="s">
        <v>76</v>
      </c>
      <c r="S52" s="25" t="s">
        <v>77</v>
      </c>
    </row>
    <row r="53" spans="1:25" ht="15" thickBot="1" x14ac:dyDescent="0.35">
      <c r="A53" s="5" t="s">
        <v>1</v>
      </c>
      <c r="B53" s="1" t="s">
        <v>2</v>
      </c>
      <c r="C53" s="1" t="s">
        <v>3</v>
      </c>
      <c r="D53" s="1" t="s">
        <v>4</v>
      </c>
      <c r="E53" s="1" t="s">
        <v>5</v>
      </c>
      <c r="F53" s="15" t="s">
        <v>6</v>
      </c>
      <c r="H53" t="s">
        <v>72</v>
      </c>
      <c r="I53" s="2" t="s">
        <v>73</v>
      </c>
      <c r="J53" s="13" t="str">
        <f>TRUNC(SUMIF(A53:A57,"Residential Load",F53:F57),3)&amp;"(0.6)"</f>
        <v>575(0.6)</v>
      </c>
      <c r="K53" s="2" t="s">
        <v>74</v>
      </c>
      <c r="L53" s="13" t="str">
        <f>TRUNC(SUMIF(A53:A57,"Commercial Load",F53:F57),3)&amp;"(0.7)"</f>
        <v>402.5(0.7)</v>
      </c>
      <c r="M53" s="2" t="s">
        <v>74</v>
      </c>
      <c r="N53" s="13" t="str">
        <f>TRUNC(SUMIF(A53:A57,"Industrial Load",F53:F57),3)&amp;"(0.65)"</f>
        <v>0(0.65)</v>
      </c>
      <c r="O53" s="2" t="str">
        <f>"="</f>
        <v>=</v>
      </c>
      <c r="P53" s="20">
        <f>((SUMIF(A53:A57,"Residential Load",F53:F57)*MID(J53,LEN(J53)-3,3))/J54)+((SUMIF(A53:A57,"Commercial Load",F53:F57)*MID(L53,LEN(L53)-3,3))/L54)+((SUMIF(A53:A57,"Industrial Load",F53:F57)*MID(N53,LEN(N53)-3,3))/N54)</f>
        <v>365.47945205479454</v>
      </c>
      <c r="Q53" s="22" t="s">
        <v>75</v>
      </c>
      <c r="R53" s="2">
        <v>0.9</v>
      </c>
      <c r="S53" s="21">
        <f>P53/R53</f>
        <v>406.08828006088282</v>
      </c>
      <c r="U53" s="12" t="s">
        <v>89</v>
      </c>
      <c r="Y53">
        <f>MID(U53,9,SEARCH("T",U53,1)-14)*1</f>
        <v>450</v>
      </c>
    </row>
    <row r="54" spans="1:25" x14ac:dyDescent="0.3">
      <c r="A54" s="4" t="s">
        <v>7</v>
      </c>
      <c r="B54" s="2">
        <v>100</v>
      </c>
      <c r="C54" s="2">
        <v>25</v>
      </c>
      <c r="D54" s="2">
        <v>1</v>
      </c>
      <c r="E54" s="2">
        <v>230</v>
      </c>
      <c r="F54" s="14">
        <f>Table110[[#This Row],[NO. OF ESTABLISHMENTS]]*Table110[[#This Row],[ESTIMATED AVERAGE AMPACITY]]*Table110[[#This Row],[VOLTAGE]]/1000</f>
        <v>575</v>
      </c>
      <c r="J54" s="2">
        <v>2</v>
      </c>
      <c r="L54" s="2">
        <v>1.46</v>
      </c>
      <c r="N54" s="2">
        <v>0.86</v>
      </c>
    </row>
    <row r="55" spans="1:25" x14ac:dyDescent="0.3">
      <c r="A55" s="4" t="s">
        <v>8</v>
      </c>
      <c r="B55" s="2">
        <v>25</v>
      </c>
      <c r="C55" s="2">
        <v>70</v>
      </c>
      <c r="D55" s="2">
        <v>1</v>
      </c>
      <c r="E55" s="2">
        <v>230</v>
      </c>
      <c r="F55" s="14">
        <f>Table110[[#This Row],[NO. OF ESTABLISHMENTS]]*Table110[[#This Row],[ESTIMATED AVERAGE AMPACITY]]*Table110[[#This Row],[VOLTAGE]]/1000</f>
        <v>402.5</v>
      </c>
    </row>
    <row r="56" spans="1:25" x14ac:dyDescent="0.3">
      <c r="A56" s="4" t="s">
        <v>9</v>
      </c>
      <c r="B56" s="2">
        <v>0</v>
      </c>
      <c r="C56" s="2">
        <v>0</v>
      </c>
      <c r="D56" s="2">
        <v>0</v>
      </c>
      <c r="E56" s="2">
        <v>0</v>
      </c>
      <c r="F56" s="14">
        <f>Table110[[#This Row],[NO. OF ESTABLISHMENTS]]*Table110[[#This Row],[ESTIMATED AVERAGE AMPACITY]]*Table110[[#This Row],[VOLTAGE]]/1000</f>
        <v>0</v>
      </c>
      <c r="H56" t="s">
        <v>79</v>
      </c>
      <c r="I56" s="2" t="str">
        <f>"="</f>
        <v>=</v>
      </c>
      <c r="J56" s="2" t="str">
        <f>IF((COUNTIF(A53:A57,"Commercial Load (Bulk)")&gt;0),TRUNC(LOOKUP("Commercial Load (Bulk)",A53:A57,F53:F57))&amp;"(0.7)",IF(COUNTIF(A53:A57,"Industrial Load (Bulk)")&gt;0,TRUNC(LOOKUP("Industrial Load (Bulk)",A53:A57,F53:F57))&amp;"(0.7)",""))</f>
        <v/>
      </c>
      <c r="P56" s="24" t="str">
        <f>IF((COUNTIF(A53:A57,"Commercial Load (Bulk)")&gt;0),(LOOKUP("Commercial Load (Bulk)",A53:A57,F53:F57)*MID(J56,LEN(J56)-3,3))/J57,IF(COUNTIF(A53:A57,"Industrial Load (Bulk)")&gt;0,(LOOKUP("Industrial Load (Bulk)",A53:A57,F53:F57)*MID(J56,LEN(J56)-3,3))/J57,""))</f>
        <v/>
      </c>
      <c r="S56" s="21" t="str">
        <f>IF(ISBLANK(R56),"",P56/R56)</f>
        <v/>
      </c>
    </row>
    <row r="57" spans="1:25" x14ac:dyDescent="0.3">
      <c r="J57" s="23" t="str">
        <f>IF((COUNTIF(A53:A57,"Commercial Load (Bulk)")&gt;0),"0.9",IF(COUNTIF(A53:A57,"Industrial Load (Bulk)")&gt;0,"0.9",""))</f>
        <v/>
      </c>
    </row>
    <row r="59" spans="1:25" x14ac:dyDescent="0.3">
      <c r="A59" s="67" t="s">
        <v>16</v>
      </c>
      <c r="B59" s="67"/>
      <c r="C59" s="67"/>
      <c r="D59" s="67"/>
      <c r="E59" s="67"/>
      <c r="F59" s="67"/>
    </row>
    <row r="60" spans="1:25" ht="15" thickBot="1" x14ac:dyDescent="0.35">
      <c r="R60" s="2" t="s">
        <v>76</v>
      </c>
      <c r="S60" s="25" t="s">
        <v>77</v>
      </c>
    </row>
    <row r="61" spans="1:25" ht="15" thickBot="1" x14ac:dyDescent="0.35">
      <c r="A61" s="5" t="s">
        <v>1</v>
      </c>
      <c r="B61" s="1" t="s">
        <v>2</v>
      </c>
      <c r="C61" s="1" t="s">
        <v>3</v>
      </c>
      <c r="D61" s="1" t="s">
        <v>4</v>
      </c>
      <c r="E61" s="1" t="s">
        <v>5</v>
      </c>
      <c r="F61" s="15" t="s">
        <v>6</v>
      </c>
      <c r="H61" t="s">
        <v>72</v>
      </c>
      <c r="I61" s="2" t="s">
        <v>73</v>
      </c>
      <c r="J61" s="13" t="str">
        <f>TRUNC(SUMIF(A61:A65,"Residential Load",F61:F65),3)&amp;"(0.6)"</f>
        <v>517.5(0.6)</v>
      </c>
      <c r="K61" s="2" t="s">
        <v>74</v>
      </c>
      <c r="L61" s="13" t="str">
        <f>TRUNC(SUMIF(A61:A65,"Commercial Load",F61:F65),3)&amp;"(0.7)"</f>
        <v>1092.5(0.7)</v>
      </c>
      <c r="M61" s="2" t="s">
        <v>74</v>
      </c>
      <c r="N61" s="13" t="str">
        <f>TRUNC(SUMIF(A61:A65,"Industrial Load",F61:F65),3)&amp;"(0.65)"</f>
        <v>0(0.65)</v>
      </c>
      <c r="O61" s="2" t="str">
        <f>"="</f>
        <v>=</v>
      </c>
      <c r="P61" s="20">
        <f>((SUMIF(A61:A65,"Residential Load",F61:F65)*MID(J61,LEN(J61)-3,3))/J62)+((SUMIF(A61:A65,"Commercial Load",F61:F65)*MID(L61,LEN(L61)-3,3))/L62)+((SUMIF(A61:A65,"Industrial Load",F61:F65)*MID(N61,LEN(N61)-3,3))/N62)</f>
        <v>679.05136986301375</v>
      </c>
      <c r="Q61" s="22" t="s">
        <v>75</v>
      </c>
      <c r="R61" s="2">
        <v>0.9</v>
      </c>
      <c r="S61" s="21">
        <f>P61/R61</f>
        <v>754.50152207001531</v>
      </c>
      <c r="U61" s="12" t="s">
        <v>91</v>
      </c>
      <c r="Y61">
        <f>MID(U61,9,SEARCH("T",U61,1)-14)*1</f>
        <v>800</v>
      </c>
    </row>
    <row r="62" spans="1:25" x14ac:dyDescent="0.3">
      <c r="A62" s="4" t="s">
        <v>7</v>
      </c>
      <c r="B62" s="2">
        <v>50</v>
      </c>
      <c r="C62" s="2">
        <v>45</v>
      </c>
      <c r="D62" s="2">
        <v>1</v>
      </c>
      <c r="E62" s="2">
        <v>230</v>
      </c>
      <c r="F62" s="14">
        <f>Table1511[[#This Row],[NO. OF ESTABLISHMENTS]]*Table1511[[#This Row],[ESTIMATED AVERAGE AMPACITY]]*Table1511[[#This Row],[VOLTAGE]]/1000</f>
        <v>517.5</v>
      </c>
      <c r="J62" s="2">
        <v>2</v>
      </c>
      <c r="L62" s="2">
        <v>1.46</v>
      </c>
      <c r="N62" s="2">
        <v>0.86</v>
      </c>
    </row>
    <row r="63" spans="1:25" ht="15" thickBot="1" x14ac:dyDescent="0.35">
      <c r="A63" s="4" t="s">
        <v>8</v>
      </c>
      <c r="B63" s="2">
        <v>50</v>
      </c>
      <c r="C63" s="2">
        <v>95</v>
      </c>
      <c r="D63" s="2">
        <v>1</v>
      </c>
      <c r="E63" s="2">
        <v>230</v>
      </c>
      <c r="F63" s="14">
        <f>Table1511[[#This Row],[NO. OF ESTABLISHMENTS]]*Table1511[[#This Row],[ESTIMATED AVERAGE AMPACITY]]*Table1511[[#This Row],[VOLTAGE]]/1000</f>
        <v>1092.5</v>
      </c>
    </row>
    <row r="64" spans="1:25" ht="15" thickBot="1" x14ac:dyDescent="0.35">
      <c r="A64" s="4" t="s">
        <v>78</v>
      </c>
      <c r="B64" s="2">
        <v>1</v>
      </c>
      <c r="C64" s="2">
        <v>2900</v>
      </c>
      <c r="D64" s="2">
        <v>3</v>
      </c>
      <c r="E64" s="2">
        <v>400</v>
      </c>
      <c r="F64" s="14">
        <f>SQRT(3)*Table1511[[#This Row],[NO. OF ESTABLISHMENTS]]*Table1511[[#This Row],[ESTIMATED AVERAGE AMPACITY]]*Table1511[[#This Row],[VOLTAGE]]/1000</f>
        <v>2009.1789367798974</v>
      </c>
      <c r="H64" t="s">
        <v>79</v>
      </c>
      <c r="I64" s="2" t="str">
        <f>"="</f>
        <v>=</v>
      </c>
      <c r="J64" s="2" t="str">
        <f>IF((COUNTIF(A61:A65,"Commercial Load (Bulk)")&gt;0),TRUNC(LOOKUP("Commercial Load (Bulk)",A61:A65,F61:F65))&amp;"(0.7)",IF(COUNTIF(A61:A65,"Industrial Load (Bulk)")&gt;0,TRUNC(LOOKUP("Industrial Load (Bulk)",A61:A65,F61:F65))&amp;"(0.7)",""))</f>
        <v>2009(0.7)</v>
      </c>
      <c r="P64" s="30">
        <f>IF((COUNTIF(A61:A65,"Commercial Load (Bulk)")&gt;0),(LOOKUP("Commercial Load (Bulk)",A61:A65,F61:F65)*MID(J64,LEN(J64)-3,3))/J65,IF(COUNTIF(A61:A65,"Industrial Load (Bulk)")&gt;0,(LOOKUP("Industrial Load (Bulk)",A61:A65,F61:F65)*MID(J64,LEN(J64)-3,3))/J65,""))</f>
        <v>1562.6947286065868</v>
      </c>
      <c r="Q64" s="22" t="s">
        <v>77</v>
      </c>
      <c r="S64" s="21" t="str">
        <f>IF(ISBLANK(R64),"",P64/R64)</f>
        <v/>
      </c>
      <c r="U64" s="12" t="s">
        <v>155</v>
      </c>
      <c r="Y64">
        <f>MID(U64,9,SEARCH("T",U64,1)-14)*1</f>
        <v>1600</v>
      </c>
    </row>
    <row r="65" spans="1:25" x14ac:dyDescent="0.3">
      <c r="A65" s="4" t="s">
        <v>9</v>
      </c>
      <c r="B65" s="2">
        <v>0</v>
      </c>
      <c r="C65" s="2">
        <v>0</v>
      </c>
      <c r="D65" s="2">
        <v>0</v>
      </c>
      <c r="E65" s="2">
        <v>0</v>
      </c>
      <c r="F65" s="14">
        <f>Table1511[[#This Row],[NO. OF ESTABLISHMENTS]]*Table1511[[#This Row],[ESTIMATED AVERAGE AMPACITY]]*Table1511[[#This Row],[VOLTAGE]]/1000</f>
        <v>0</v>
      </c>
      <c r="J65" s="23" t="str">
        <f>IF((COUNTIF(A61:A65,"Commercial Load (Bulk)")&gt;0),"0.9",IF(COUNTIF(A61:A65,"Industrial Load (Bulk)")&gt;0,"0.9",""))</f>
        <v>0.9</v>
      </c>
    </row>
    <row r="68" spans="1:25" x14ac:dyDescent="0.3">
      <c r="A68" s="67" t="s">
        <v>17</v>
      </c>
      <c r="B68" s="67"/>
      <c r="C68" s="67"/>
      <c r="D68" s="67"/>
      <c r="E68" s="67"/>
      <c r="F68" s="67"/>
    </row>
    <row r="69" spans="1:25" ht="15" thickBot="1" x14ac:dyDescent="0.35">
      <c r="R69" s="2" t="s">
        <v>76</v>
      </c>
      <c r="S69" s="25" t="s">
        <v>77</v>
      </c>
    </row>
    <row r="70" spans="1:25" ht="15" thickBot="1" x14ac:dyDescent="0.35">
      <c r="A70" s="5" t="s">
        <v>1</v>
      </c>
      <c r="B70" s="1" t="s">
        <v>2</v>
      </c>
      <c r="C70" s="1" t="s">
        <v>3</v>
      </c>
      <c r="D70" s="1" t="s">
        <v>4</v>
      </c>
      <c r="E70" s="1" t="s">
        <v>5</v>
      </c>
      <c r="F70" s="15" t="s">
        <v>6</v>
      </c>
      <c r="H70" t="s">
        <v>72</v>
      </c>
      <c r="I70" s="2" t="s">
        <v>73</v>
      </c>
      <c r="J70" s="13" t="str">
        <f>TRUNC(SUMIF(A70:A74,"Residential Load",F70:F74),3)&amp;"(0.6)"</f>
        <v>276(0.6)</v>
      </c>
      <c r="K70" s="2" t="s">
        <v>74</v>
      </c>
      <c r="L70" s="13" t="str">
        <f>TRUNC(SUMIF(A70:A74,"Commercial Load",F70:F74),3)&amp;"(0.7)"</f>
        <v>310.5(0.7)</v>
      </c>
      <c r="M70" s="2" t="s">
        <v>74</v>
      </c>
      <c r="N70" s="13" t="str">
        <f>TRUNC(SUMIF(A70:A74,"Industrial Load",F70:F74),3)&amp;"(0.65)"</f>
        <v>0(0.65)</v>
      </c>
      <c r="O70" s="2" t="str">
        <f>"="</f>
        <v>=</v>
      </c>
      <c r="P70" s="20">
        <f>((SUMIF(A70:A74,"Residential Load",F70:F74)*MID(J70,LEN(J70)-3,3))/J71)+((SUMIF(A70:A74,"Commercial Load",F70:F74)*MID(L70,LEN(L70)-3,3))/L71)+((SUMIF(A70:A74,"Industrial Load",F70:F74)*MID(N70,LEN(N70)-3,3))/N71)</f>
        <v>231.6698630136986</v>
      </c>
      <c r="Q70" s="22" t="s">
        <v>75</v>
      </c>
      <c r="R70" s="2">
        <v>0.9</v>
      </c>
      <c r="S70" s="21">
        <f>P70/R70</f>
        <v>257.41095890410958</v>
      </c>
      <c r="U70" s="12" t="s">
        <v>88</v>
      </c>
      <c r="Y70">
        <f>MID(U70,9,SEARCH("T",U70,1)-14)*1</f>
        <v>300</v>
      </c>
    </row>
    <row r="71" spans="1:25" x14ac:dyDescent="0.3">
      <c r="A71" s="4" t="s">
        <v>7</v>
      </c>
      <c r="B71" s="2">
        <v>60</v>
      </c>
      <c r="C71" s="2">
        <v>20</v>
      </c>
      <c r="D71" s="2">
        <v>1</v>
      </c>
      <c r="E71" s="2">
        <v>230</v>
      </c>
      <c r="F71" s="14">
        <f>Table1612[[#This Row],[NO. OF ESTABLISHMENTS]]*Table1612[[#This Row],[ESTIMATED AVERAGE AMPACITY]]*Table1612[[#This Row],[VOLTAGE]]/1000</f>
        <v>276</v>
      </c>
      <c r="J71" s="2">
        <v>2</v>
      </c>
      <c r="L71" s="2">
        <v>1.46</v>
      </c>
      <c r="N71" s="2">
        <v>0.86</v>
      </c>
    </row>
    <row r="72" spans="1:25" x14ac:dyDescent="0.3">
      <c r="A72" s="4" t="s">
        <v>8</v>
      </c>
      <c r="B72" s="2">
        <v>15</v>
      </c>
      <c r="C72" s="2">
        <v>90</v>
      </c>
      <c r="D72" s="2">
        <v>1</v>
      </c>
      <c r="E72" s="2">
        <v>230</v>
      </c>
      <c r="F72" s="14">
        <f>Table1612[[#This Row],[NO. OF ESTABLISHMENTS]]*Table1612[[#This Row],[ESTIMATED AVERAGE AMPACITY]]*Table1612[[#This Row],[VOLTAGE]]/1000</f>
        <v>310.5</v>
      </c>
    </row>
    <row r="73" spans="1:25" x14ac:dyDescent="0.3">
      <c r="A73" s="4" t="s">
        <v>9</v>
      </c>
      <c r="B73" s="2">
        <v>0</v>
      </c>
      <c r="C73" s="2">
        <v>0</v>
      </c>
      <c r="D73" s="2">
        <v>0</v>
      </c>
      <c r="E73" s="2">
        <v>0</v>
      </c>
      <c r="F73" s="14">
        <f>Table1612[[#This Row],[NO. OF ESTABLISHMENTS]]*Table1612[[#This Row],[ESTIMATED AVERAGE AMPACITY]]*Table1612[[#This Row],[VOLTAGE]]/1000</f>
        <v>0</v>
      </c>
      <c r="H73" t="s">
        <v>79</v>
      </c>
      <c r="I73" s="2" t="str">
        <f>"="</f>
        <v>=</v>
      </c>
      <c r="J73" s="2" t="str">
        <f>IF((COUNTIF(A70:A74,"Commercial Load (Bulk)")&gt;0),TRUNC(LOOKUP("Commercial Load (Bulk)",A70:A74,F70:F74))&amp;"(0.7)",IF(COUNTIF(A70:A74,"Industrial Load (Bulk)")&gt;0,TRUNC(LOOKUP("Industrial Load (Bulk)",A70:A74,F70:F74))&amp;"(0.7)",""))</f>
        <v/>
      </c>
      <c r="P73" s="24" t="str">
        <f>IF((COUNTIF(A70:A74,"Commercial Load (Bulk)")&gt;0),(LOOKUP("Commercial Load (Bulk)",A70:A74,F70:F74)*MID(J73,LEN(J73)-3,3))/J74,IF(COUNTIF(A70:A74,"Industrial Load (Bulk)")&gt;0,(LOOKUP("Industrial Load (Bulk)",A70:A74,F70:F74)*MID(J73,LEN(J73)-3,3))/J74,""))</f>
        <v/>
      </c>
      <c r="S73" s="21" t="str">
        <f>IF(ISBLANK(R73),"",P73/R73)</f>
        <v/>
      </c>
    </row>
    <row r="74" spans="1:25" x14ac:dyDescent="0.3">
      <c r="J74" s="23" t="str">
        <f>IF((COUNTIF(A70:A74,"Commercial Load (Bulk)")&gt;0),"0.9",IF(COUNTIF(A70:A74,"Industrial Load (Bulk)")&gt;0,"0.9",""))</f>
        <v/>
      </c>
    </row>
    <row r="76" spans="1:25" x14ac:dyDescent="0.3">
      <c r="A76" s="67" t="s">
        <v>18</v>
      </c>
      <c r="B76" s="67"/>
      <c r="C76" s="67"/>
      <c r="D76" s="67"/>
      <c r="E76" s="67"/>
      <c r="F76" s="67"/>
    </row>
    <row r="77" spans="1:25" ht="15" thickBot="1" x14ac:dyDescent="0.35">
      <c r="R77" s="2" t="s">
        <v>76</v>
      </c>
      <c r="S77" s="25" t="s">
        <v>77</v>
      </c>
    </row>
    <row r="78" spans="1:25" ht="15" thickBot="1" x14ac:dyDescent="0.35">
      <c r="A78" s="5" t="s">
        <v>1</v>
      </c>
      <c r="B78" s="1" t="s">
        <v>2</v>
      </c>
      <c r="C78" s="1" t="s">
        <v>3</v>
      </c>
      <c r="D78" s="1" t="s">
        <v>4</v>
      </c>
      <c r="E78" s="1" t="s">
        <v>5</v>
      </c>
      <c r="F78" s="15" t="s">
        <v>6</v>
      </c>
      <c r="H78" t="s">
        <v>72</v>
      </c>
      <c r="I78" s="2" t="s">
        <v>73</v>
      </c>
      <c r="J78" s="13" t="str">
        <f>TRUNC(SUMIF(A78:A82,"Residential Load",F78:F82),3)&amp;"(0.6)"</f>
        <v>241.5(0.6)</v>
      </c>
      <c r="K78" s="2" t="s">
        <v>74</v>
      </c>
      <c r="L78" s="13" t="str">
        <f>TRUNC(SUMIF(A78:A82,"Commercial Load",F78:F82),3)&amp;"(0.7)"</f>
        <v>149.5(0.7)</v>
      </c>
      <c r="M78" s="2" t="s">
        <v>74</v>
      </c>
      <c r="N78" s="13" t="str">
        <f>TRUNC(SUMIF(A78:A82,"Industrial Load",F78:F82),3)&amp;"(0.65)"</f>
        <v>0(0.65)</v>
      </c>
      <c r="O78" s="2" t="str">
        <f>"="</f>
        <v>=</v>
      </c>
      <c r="P78" s="20">
        <f>((SUMIF(A78:A82,"Residential Load",F78:F82)*MID(J78,LEN(J78)-3,3))/J79)+((SUMIF(A78:A82,"Commercial Load",F78:F82)*MID(L78,LEN(L78)-3,3))/L79)+((SUMIF(A78:A82,"Industrial Load",F78:F82)*MID(N78,LEN(N78)-3,3))/N79)</f>
        <v>144.12808219178083</v>
      </c>
      <c r="Q78" s="22" t="s">
        <v>75</v>
      </c>
      <c r="R78" s="2">
        <v>0.9</v>
      </c>
      <c r="S78" s="21">
        <f>P78/R78</f>
        <v>160.14231354642314</v>
      </c>
      <c r="U78" s="12" t="s">
        <v>97</v>
      </c>
      <c r="Y78">
        <f>MID(U78,9,SEARCH("T",U78,1)-14)*1</f>
        <v>225</v>
      </c>
    </row>
    <row r="79" spans="1:25" x14ac:dyDescent="0.3">
      <c r="A79" s="4" t="s">
        <v>7</v>
      </c>
      <c r="B79" s="2">
        <v>70</v>
      </c>
      <c r="C79" s="2">
        <v>15</v>
      </c>
      <c r="D79" s="2">
        <v>1</v>
      </c>
      <c r="E79" s="2">
        <v>230</v>
      </c>
      <c r="F79" s="14">
        <f>Table1713[[#This Row],[NO. OF ESTABLISHMENTS]]*Table1713[[#This Row],[ESTIMATED AVERAGE AMPACITY]]*Table1713[[#This Row],[VOLTAGE]]/1000</f>
        <v>241.5</v>
      </c>
      <c r="J79" s="2">
        <v>2</v>
      </c>
      <c r="L79" s="2">
        <v>1.46</v>
      </c>
      <c r="N79" s="2">
        <v>0.86</v>
      </c>
    </row>
    <row r="80" spans="1:25" x14ac:dyDescent="0.3">
      <c r="A80" s="4" t="s">
        <v>8</v>
      </c>
      <c r="B80" s="2">
        <v>10</v>
      </c>
      <c r="C80" s="2">
        <v>65</v>
      </c>
      <c r="D80" s="2">
        <v>1</v>
      </c>
      <c r="E80" s="2">
        <v>230</v>
      </c>
      <c r="F80" s="14">
        <f>Table1713[[#This Row],[NO. OF ESTABLISHMENTS]]*Table1713[[#This Row],[ESTIMATED AVERAGE AMPACITY]]*Table1713[[#This Row],[VOLTAGE]]/1000</f>
        <v>149.5</v>
      </c>
    </row>
    <row r="81" spans="1:25" x14ac:dyDescent="0.3">
      <c r="A81" s="4" t="s">
        <v>9</v>
      </c>
      <c r="B81" s="2">
        <v>0</v>
      </c>
      <c r="C81" s="2">
        <v>0</v>
      </c>
      <c r="D81" s="2">
        <v>0</v>
      </c>
      <c r="E81" s="2">
        <v>0</v>
      </c>
      <c r="F81" s="14">
        <f>Table1713[[#This Row],[NO. OF ESTABLISHMENTS]]*Table1713[[#This Row],[ESTIMATED AVERAGE AMPACITY]]*Table1713[[#This Row],[VOLTAGE]]/1000</f>
        <v>0</v>
      </c>
      <c r="H81" t="s">
        <v>79</v>
      </c>
      <c r="I81" s="2" t="str">
        <f>"="</f>
        <v>=</v>
      </c>
      <c r="J81" s="2" t="str">
        <f>IF((COUNTIF(A78:A82,"Commercial Load (Bulk)")&gt;0),TRUNC(LOOKUP("Commercial Load (Bulk)",A78:A82,F78:F82))&amp;"(0.7)",IF(COUNTIF(A78:A82,"Industrial Load (Bulk)")&gt;0,TRUNC(LOOKUP("Industrial Load (Bulk)",A78:A82,F78:F82))&amp;"(0.7)",""))</f>
        <v/>
      </c>
      <c r="P81" s="24" t="str">
        <f>IF((COUNTIF(A78:A82,"Commercial Load (Bulk)")&gt;0),(LOOKUP("Commercial Load (Bulk)",A78:A82,F78:F82)*MID(J81,LEN(J81)-3,3))/J82,IF(COUNTIF(A78:A82,"Industrial Load (Bulk)")&gt;0,(LOOKUP("Industrial Load (Bulk)",A78:A82,F78:F82)*MID(J81,LEN(J81)-3,3))/J82,""))</f>
        <v/>
      </c>
      <c r="S81" s="21" t="str">
        <f>IF(ISBLANK(R81),"",P81/R81)</f>
        <v/>
      </c>
    </row>
    <row r="82" spans="1:25" x14ac:dyDescent="0.3">
      <c r="J82" s="23" t="str">
        <f>IF((COUNTIF(A78:A82,"Commercial Load (Bulk)")&gt;0),"0.9",IF(COUNTIF(A78:A82,"Industrial Load (Bulk)")&gt;0,"0.9",""))</f>
        <v/>
      </c>
    </row>
    <row r="84" spans="1:25" x14ac:dyDescent="0.3">
      <c r="A84" s="67" t="s">
        <v>19</v>
      </c>
      <c r="B84" s="67"/>
      <c r="C84" s="67"/>
      <c r="D84" s="67"/>
      <c r="E84" s="67"/>
      <c r="F84" s="67"/>
    </row>
    <row r="85" spans="1:25" ht="15" thickBot="1" x14ac:dyDescent="0.35">
      <c r="R85" s="2" t="s">
        <v>76</v>
      </c>
      <c r="S85" s="25" t="s">
        <v>77</v>
      </c>
    </row>
    <row r="86" spans="1:25" ht="15" thickBot="1" x14ac:dyDescent="0.35">
      <c r="A86" s="5" t="s">
        <v>1</v>
      </c>
      <c r="B86" s="1" t="s">
        <v>2</v>
      </c>
      <c r="C86" s="1" t="s">
        <v>3</v>
      </c>
      <c r="D86" s="1" t="s">
        <v>4</v>
      </c>
      <c r="E86" s="1" t="s">
        <v>5</v>
      </c>
      <c r="F86" s="15" t="s">
        <v>6</v>
      </c>
      <c r="H86" t="s">
        <v>72</v>
      </c>
      <c r="I86" s="2" t="s">
        <v>73</v>
      </c>
      <c r="J86" s="13" t="str">
        <f>TRUNC(SUMIF(A86:A90,"Residential Load",F86:F90),3)&amp;"(0.6)"</f>
        <v>414(0.6)</v>
      </c>
      <c r="K86" s="2" t="s">
        <v>74</v>
      </c>
      <c r="L86" s="13" t="str">
        <f>TRUNC(SUMIF(A86:A90,"Commercial Load",F86:F90),3)&amp;"(0.7)"</f>
        <v>322(0.7)</v>
      </c>
      <c r="M86" s="2" t="s">
        <v>74</v>
      </c>
      <c r="N86" s="13" t="str">
        <f>TRUNC(SUMIF(A86:A90,"Industrial Load",F86:F90),3)&amp;"(0.65)"</f>
        <v>0(0.65)</v>
      </c>
      <c r="O86" s="2" t="str">
        <f>"="</f>
        <v>=</v>
      </c>
      <c r="P86" s="20">
        <f>((SUMIF(A86:A90,"Residential Load",F86:F90)*MID(J86,LEN(J86)-3,3))/J87)+((SUMIF(A86:A90,"Commercial Load",F86:F90)*MID(L86,LEN(L86)-3,3))/L87)+((SUMIF(A86:A90,"Industrial Load",F86:F90)*MID(N86,LEN(N86)-3,3))/N87)</f>
        <v>278.58356164383559</v>
      </c>
      <c r="Q86" s="22" t="s">
        <v>75</v>
      </c>
      <c r="R86" s="2">
        <v>0.9</v>
      </c>
      <c r="S86" s="21">
        <f>P86/R86</f>
        <v>309.53729071537288</v>
      </c>
      <c r="U86" s="12" t="s">
        <v>89</v>
      </c>
      <c r="Y86">
        <f>MID(U86,9,SEARCH("T",U86,1)-14)*1</f>
        <v>450</v>
      </c>
    </row>
    <row r="87" spans="1:25" x14ac:dyDescent="0.3">
      <c r="A87" s="4" t="s">
        <v>7</v>
      </c>
      <c r="B87" s="2">
        <v>90</v>
      </c>
      <c r="C87" s="2">
        <v>20</v>
      </c>
      <c r="D87" s="2">
        <v>1</v>
      </c>
      <c r="E87" s="2">
        <v>230</v>
      </c>
      <c r="F87" s="14">
        <f>Table15814[[#This Row],[NO. OF ESTABLISHMENTS]]*Table15814[[#This Row],[ESTIMATED AVERAGE AMPACITY]]*Table15814[[#This Row],[VOLTAGE]]/1000</f>
        <v>414</v>
      </c>
      <c r="J87" s="2">
        <v>2</v>
      </c>
      <c r="L87" s="2">
        <v>1.46</v>
      </c>
      <c r="N87" s="2">
        <v>0.86</v>
      </c>
    </row>
    <row r="88" spans="1:25" x14ac:dyDescent="0.3">
      <c r="A88" s="4" t="s">
        <v>8</v>
      </c>
      <c r="B88" s="2">
        <v>20</v>
      </c>
      <c r="C88" s="2">
        <v>70</v>
      </c>
      <c r="D88" s="2">
        <v>1</v>
      </c>
      <c r="E88" s="2">
        <v>230</v>
      </c>
      <c r="F88" s="14">
        <f>Table15814[[#This Row],[NO. OF ESTABLISHMENTS]]*Table15814[[#This Row],[ESTIMATED AVERAGE AMPACITY]]*Table15814[[#This Row],[VOLTAGE]]/1000</f>
        <v>322</v>
      </c>
    </row>
    <row r="89" spans="1:25" x14ac:dyDescent="0.3">
      <c r="A89" s="4" t="s">
        <v>9</v>
      </c>
      <c r="B89" s="2">
        <v>0</v>
      </c>
      <c r="C89" s="2">
        <v>0</v>
      </c>
      <c r="D89" s="2">
        <v>0</v>
      </c>
      <c r="E89" s="2">
        <v>0</v>
      </c>
      <c r="F89" s="14">
        <f>Table15814[[#This Row],[NO. OF ESTABLISHMENTS]]*Table15814[[#This Row],[ESTIMATED AVERAGE AMPACITY]]*Table15814[[#This Row],[VOLTAGE]]/1000</f>
        <v>0</v>
      </c>
      <c r="H89" t="s">
        <v>79</v>
      </c>
      <c r="I89" s="2" t="str">
        <f>"="</f>
        <v>=</v>
      </c>
      <c r="J89" s="2" t="str">
        <f>IF((COUNTIF(A86:A90,"Commercial Load (Bulk)")&gt;0),TRUNC(LOOKUP("Commercial Load (Bulk)",A86:A90,F86:F90))&amp;"(0.7)",IF(COUNTIF(A86:A90,"Industrial Load (Bulk)")&gt;0,TRUNC(LOOKUP("Industrial Load (Bulk)",A86:A90,F86:F90))&amp;"(0.7)",""))</f>
        <v/>
      </c>
      <c r="P89" s="24" t="str">
        <f>IF((COUNTIF(A86:A90,"Commercial Load (Bulk)")&gt;0),(LOOKUP("Commercial Load (Bulk)",A86:A90,F86:F90)*MID(J89,LEN(J89)-3,3))/J90,IF(COUNTIF(A86:A90,"Industrial Load (Bulk)")&gt;0,(LOOKUP("Industrial Load (Bulk)",A86:A90,F86:F90)*MID(J89,LEN(J89)-3,3))/J90,""))</f>
        <v/>
      </c>
      <c r="S89" s="21" t="str">
        <f>IF(ISBLANK(R89),"",P89/R89)</f>
        <v/>
      </c>
    </row>
    <row r="90" spans="1:25" x14ac:dyDescent="0.3">
      <c r="J90" s="23" t="str">
        <f>IF((COUNTIF(A86:A90,"Commercial Load (Bulk)")&gt;0),"0.9",IF(COUNTIF(A86:A90,"Industrial Load (Bulk)")&gt;0,"0.9",""))</f>
        <v/>
      </c>
    </row>
    <row r="92" spans="1:25" x14ac:dyDescent="0.3">
      <c r="A92" s="67" t="s">
        <v>20</v>
      </c>
      <c r="B92" s="67"/>
      <c r="C92" s="67"/>
      <c r="D92" s="67"/>
      <c r="E92" s="67"/>
      <c r="F92" s="67"/>
    </row>
    <row r="93" spans="1:25" ht="15" thickBot="1" x14ac:dyDescent="0.35">
      <c r="R93" s="2" t="s">
        <v>76</v>
      </c>
      <c r="S93" s="25" t="s">
        <v>77</v>
      </c>
    </row>
    <row r="94" spans="1:25" ht="15" thickBot="1" x14ac:dyDescent="0.35">
      <c r="A94" s="5" t="s">
        <v>1</v>
      </c>
      <c r="B94" s="1" t="s">
        <v>2</v>
      </c>
      <c r="C94" s="1" t="s">
        <v>3</v>
      </c>
      <c r="D94" s="1" t="s">
        <v>4</v>
      </c>
      <c r="E94" s="1" t="s">
        <v>5</v>
      </c>
      <c r="F94" s="15" t="s">
        <v>6</v>
      </c>
      <c r="H94" t="s">
        <v>72</v>
      </c>
      <c r="I94" s="2" t="s">
        <v>73</v>
      </c>
      <c r="J94" s="13" t="str">
        <f>TRUNC(SUMIF(A94:A98,"Residential Load",F94:F98),3)&amp;"(0.6)"</f>
        <v>552(0.6)</v>
      </c>
      <c r="K94" s="2" t="s">
        <v>74</v>
      </c>
      <c r="L94" s="13" t="str">
        <f>TRUNC(SUMIF(A94:A98,"Commercial Load",F94:F98),3)&amp;"(0.7)"</f>
        <v>517.5(0.7)</v>
      </c>
      <c r="M94" s="2" t="s">
        <v>74</v>
      </c>
      <c r="N94" s="13" t="str">
        <f>TRUNC(SUMIF(A94:A98,"Industrial Load",F94:F98),3)&amp;"(0.65)"</f>
        <v>0(0.65)</v>
      </c>
      <c r="O94" s="2" t="str">
        <f>"="</f>
        <v>=</v>
      </c>
      <c r="P94" s="20">
        <f>((SUMIF(A94:A98,"Residential Load",F94:F98)*MID(J94,LEN(J94)-3,3))/J95)+((SUMIF(A94:A98,"Commercial Load",F94:F98)*MID(L94,LEN(L94)-3,3))/L95)+((SUMIF(A94:A98,"Industrial Load",F94:F98)*MID(N94,LEN(N94)-3,3))/N95)</f>
        <v>413.71643835616442</v>
      </c>
      <c r="Q94" s="22" t="s">
        <v>75</v>
      </c>
      <c r="R94" s="2">
        <v>0.9</v>
      </c>
      <c r="S94" s="21">
        <f>P94/R94</f>
        <v>459.68493150684935</v>
      </c>
      <c r="U94" s="12" t="s">
        <v>96</v>
      </c>
      <c r="Y94">
        <f>MID(U94,9,SEARCH("T",U94,1)-14)*1</f>
        <v>500</v>
      </c>
    </row>
    <row r="95" spans="1:25" x14ac:dyDescent="0.3">
      <c r="A95" s="4" t="s">
        <v>7</v>
      </c>
      <c r="B95" s="2">
        <v>60</v>
      </c>
      <c r="C95" s="2">
        <v>40</v>
      </c>
      <c r="D95" s="2">
        <v>1</v>
      </c>
      <c r="E95" s="2">
        <v>230</v>
      </c>
      <c r="F95" s="14">
        <f>Table16915[[#This Row],[NO. OF ESTABLISHMENTS]]*Table16915[[#This Row],[ESTIMATED AVERAGE AMPACITY]]*Table16915[[#This Row],[VOLTAGE]]/1000</f>
        <v>552</v>
      </c>
      <c r="J95" s="2">
        <v>2</v>
      </c>
      <c r="L95" s="2">
        <v>1.46</v>
      </c>
      <c r="N95" s="2">
        <v>0.86</v>
      </c>
    </row>
    <row r="96" spans="1:25" x14ac:dyDescent="0.3">
      <c r="A96" s="4" t="s">
        <v>8</v>
      </c>
      <c r="B96" s="2">
        <v>25</v>
      </c>
      <c r="C96" s="2">
        <v>90</v>
      </c>
      <c r="D96" s="2">
        <v>1</v>
      </c>
      <c r="E96" s="2">
        <v>230</v>
      </c>
      <c r="F96" s="14">
        <f>Table16915[[#This Row],[NO. OF ESTABLISHMENTS]]*Table16915[[#This Row],[ESTIMATED AVERAGE AMPACITY]]*Table16915[[#This Row],[VOLTAGE]]/1000</f>
        <v>517.5</v>
      </c>
    </row>
    <row r="97" spans="1:25" x14ac:dyDescent="0.3">
      <c r="A97" s="4" t="s">
        <v>9</v>
      </c>
      <c r="B97" s="2">
        <v>0</v>
      </c>
      <c r="C97" s="2">
        <v>0</v>
      </c>
      <c r="D97" s="2">
        <v>0</v>
      </c>
      <c r="E97" s="2">
        <v>0</v>
      </c>
      <c r="F97" s="14">
        <f>Table16915[[#This Row],[NO. OF ESTABLISHMENTS]]*Table16915[[#This Row],[ESTIMATED AVERAGE AMPACITY]]*Table16915[[#This Row],[VOLTAGE]]/1000</f>
        <v>0</v>
      </c>
      <c r="H97" t="s">
        <v>79</v>
      </c>
      <c r="I97" s="2" t="str">
        <f>"="</f>
        <v>=</v>
      </c>
      <c r="J97" s="2" t="str">
        <f>IF((COUNTIF(A94:A98,"Commercial Load (Bulk)")&gt;0),TRUNC(LOOKUP("Commercial Load (Bulk)",A94:A98,F94:F98))&amp;"(0.7)",IF(COUNTIF(A94:A98,"Industrial Load (Bulk)")&gt;0,TRUNC(LOOKUP("Industrial Load (Bulk)",A94:A98,F94:F98))&amp;"(0.7)",""))</f>
        <v/>
      </c>
      <c r="P97" s="24" t="str">
        <f>IF((COUNTIF(A94:A98,"Commercial Load (Bulk)")&gt;0),(LOOKUP("Commercial Load (Bulk)",A94:A98,F94:F98)*MID(J97,LEN(J97)-3,3))/J98,IF(COUNTIF(A94:A98,"Industrial Load (Bulk)")&gt;0,(LOOKUP("Industrial Load (Bulk)",A94:A98,F94:F98)*MID(J97,LEN(J97)-3,3))/J98,""))</f>
        <v/>
      </c>
      <c r="S97" s="21" t="str">
        <f>IF(ISBLANK(R97),"",P97/R97)</f>
        <v/>
      </c>
    </row>
    <row r="98" spans="1:25" x14ac:dyDescent="0.3">
      <c r="J98" s="23" t="str">
        <f>IF((COUNTIF(A94:A98,"Commercial Load (Bulk)")&gt;0),"0.9",IF(COUNTIF(A94:A98,"Industrial Load (Bulk)")&gt;0,"0.9",""))</f>
        <v/>
      </c>
    </row>
    <row r="100" spans="1:25" x14ac:dyDescent="0.3">
      <c r="A100" s="67" t="s">
        <v>21</v>
      </c>
      <c r="B100" s="67"/>
      <c r="C100" s="67"/>
      <c r="D100" s="67"/>
      <c r="E100" s="67"/>
      <c r="F100" s="67"/>
    </row>
    <row r="101" spans="1:25" ht="15" thickBot="1" x14ac:dyDescent="0.35">
      <c r="R101" s="2" t="s">
        <v>76</v>
      </c>
      <c r="S101" s="25" t="s">
        <v>77</v>
      </c>
    </row>
    <row r="102" spans="1:25" ht="15" thickBot="1" x14ac:dyDescent="0.35">
      <c r="A102" s="5" t="s">
        <v>1</v>
      </c>
      <c r="B102" s="1" t="s">
        <v>2</v>
      </c>
      <c r="C102" s="1" t="s">
        <v>3</v>
      </c>
      <c r="D102" s="1" t="s">
        <v>4</v>
      </c>
      <c r="E102" s="1" t="s">
        <v>5</v>
      </c>
      <c r="F102" s="15" t="s">
        <v>6</v>
      </c>
      <c r="H102" t="s">
        <v>72</v>
      </c>
      <c r="I102" s="2" t="s">
        <v>73</v>
      </c>
      <c r="J102" s="13" t="str">
        <f>TRUNC(SUMIF(A102:A106,"Residential Load",F102:F106),3)&amp;"(0.6)"</f>
        <v>172.5(0.6)</v>
      </c>
      <c r="K102" s="2" t="s">
        <v>74</v>
      </c>
      <c r="L102" s="13" t="str">
        <f>TRUNC(SUMIF(A102:A106,"Commercial Load",F102:F106),3)&amp;"(0.7)"</f>
        <v>149.5(0.7)</v>
      </c>
      <c r="M102" s="2" t="s">
        <v>74</v>
      </c>
      <c r="N102" s="13" t="str">
        <f>TRUNC(SUMIF(A102:A106,"Industrial Load",F102:F106),3)&amp;"(0.65)"</f>
        <v>0(0.65)</v>
      </c>
      <c r="O102" s="2" t="str">
        <f>"="</f>
        <v>=</v>
      </c>
      <c r="P102" s="20">
        <f>((SUMIF(A102:A106,"Residential Load",F102:F106)*MID(J102,LEN(J102)-3,3))/J103)+((SUMIF(A102:A106,"Commercial Load",F102:F106)*MID(L102,LEN(L102)-3,3))/L103)+((SUMIF(A102:A106,"Industrial Load",F102:F106)*MID(N102,LEN(N102)-3,3))/N103)</f>
        <v>123.42808219178082</v>
      </c>
      <c r="Q102" s="22" t="s">
        <v>75</v>
      </c>
      <c r="R102" s="2">
        <v>0.9</v>
      </c>
      <c r="S102" s="21">
        <f>P102/R102</f>
        <v>137.14231354642314</v>
      </c>
      <c r="U102" s="12" t="s">
        <v>94</v>
      </c>
      <c r="Y102">
        <f>MID(U102,9,SEARCH("T",U102,1)-14)*1</f>
        <v>150</v>
      </c>
    </row>
    <row r="103" spans="1:25" x14ac:dyDescent="0.3">
      <c r="A103" s="4" t="s">
        <v>7</v>
      </c>
      <c r="B103" s="2">
        <v>50</v>
      </c>
      <c r="C103" s="2">
        <v>15</v>
      </c>
      <c r="D103" s="2">
        <v>1</v>
      </c>
      <c r="E103" s="2">
        <v>230</v>
      </c>
      <c r="F103" s="14">
        <f>Table116[[#This Row],[NO. OF ESTABLISHMENTS]]*Table116[[#This Row],[ESTIMATED AVERAGE AMPACITY]]*Table116[[#This Row],[VOLTAGE]]/1000</f>
        <v>172.5</v>
      </c>
      <c r="J103" s="2">
        <v>2</v>
      </c>
      <c r="L103" s="2">
        <v>1.46</v>
      </c>
      <c r="N103" s="2">
        <v>0.86</v>
      </c>
    </row>
    <row r="104" spans="1:25" x14ac:dyDescent="0.3">
      <c r="A104" s="4" t="s">
        <v>8</v>
      </c>
      <c r="B104" s="2">
        <v>10</v>
      </c>
      <c r="C104" s="2">
        <v>65</v>
      </c>
      <c r="D104" s="2">
        <v>1</v>
      </c>
      <c r="E104" s="2">
        <v>230</v>
      </c>
      <c r="F104" s="14">
        <f>Table116[[#This Row],[NO. OF ESTABLISHMENTS]]*Table116[[#This Row],[ESTIMATED AVERAGE AMPACITY]]*Table116[[#This Row],[VOLTAGE]]/1000</f>
        <v>149.5</v>
      </c>
    </row>
    <row r="105" spans="1:25" x14ac:dyDescent="0.3">
      <c r="A105" s="4" t="s">
        <v>9</v>
      </c>
      <c r="B105" s="2">
        <v>0</v>
      </c>
      <c r="C105" s="2">
        <v>0</v>
      </c>
      <c r="D105" s="2">
        <v>0</v>
      </c>
      <c r="E105" s="2">
        <v>0</v>
      </c>
      <c r="F105" s="14">
        <f>Table116[[#This Row],[NO. OF ESTABLISHMENTS]]*Table116[[#This Row],[ESTIMATED AVERAGE AMPACITY]]*Table116[[#This Row],[VOLTAGE]]/1000</f>
        <v>0</v>
      </c>
      <c r="H105" t="s">
        <v>79</v>
      </c>
      <c r="I105" s="2" t="str">
        <f>"="</f>
        <v>=</v>
      </c>
      <c r="J105" s="2" t="str">
        <f>IF((COUNTIF(A102:A106,"Commercial Load (Bulk)")&gt;0),TRUNC(LOOKUP("Commercial Load (Bulk)",A102:A106,F102:F106))&amp;"(0.7)",IF(COUNTIF(A102:A106,"Industrial Load (Bulk)")&gt;0,TRUNC(LOOKUP("Industrial Load (Bulk)",A102:A106,F102:F106))&amp;"(0.7)",""))</f>
        <v/>
      </c>
      <c r="P105" s="24" t="str">
        <f>IF((COUNTIF(A102:A106,"Commercial Load (Bulk)")&gt;0),(LOOKUP("Commercial Load (Bulk)",A102:A106,F102:F106)*MID(J105,LEN(J105)-3,3))/J106,IF(COUNTIF(A102:A106,"Industrial Load (Bulk)")&gt;0,(LOOKUP("Industrial Load (Bulk)",A102:A106,F102:F106)*MID(J105,LEN(J105)-3,3))/J106,""))</f>
        <v/>
      </c>
      <c r="S105" s="21" t="str">
        <f>IF(ISBLANK(R105),"",P105/R105)</f>
        <v/>
      </c>
    </row>
    <row r="106" spans="1:25" x14ac:dyDescent="0.3">
      <c r="J106" s="23" t="str">
        <f>IF((COUNTIF(A102:A106,"Commercial Load (Bulk)")&gt;0),"0.9",IF(COUNTIF(A102:A106,"Industrial Load (Bulk)")&gt;0,"0.9",""))</f>
        <v/>
      </c>
    </row>
    <row r="108" spans="1:25" x14ac:dyDescent="0.3">
      <c r="A108" s="67" t="s">
        <v>22</v>
      </c>
      <c r="B108" s="67"/>
      <c r="C108" s="67"/>
      <c r="D108" s="67"/>
      <c r="E108" s="67"/>
      <c r="F108" s="67"/>
    </row>
    <row r="109" spans="1:25" ht="15" thickBot="1" x14ac:dyDescent="0.35">
      <c r="R109" s="2" t="s">
        <v>76</v>
      </c>
      <c r="S109" s="25" t="s">
        <v>77</v>
      </c>
    </row>
    <row r="110" spans="1:25" ht="15" thickBot="1" x14ac:dyDescent="0.35">
      <c r="A110" s="5" t="s">
        <v>1</v>
      </c>
      <c r="B110" s="1" t="s">
        <v>2</v>
      </c>
      <c r="C110" s="1" t="s">
        <v>3</v>
      </c>
      <c r="D110" s="1" t="s">
        <v>4</v>
      </c>
      <c r="E110" s="1" t="s">
        <v>5</v>
      </c>
      <c r="F110" s="15" t="s">
        <v>6</v>
      </c>
      <c r="H110" t="s">
        <v>72</v>
      </c>
      <c r="I110" s="2" t="s">
        <v>73</v>
      </c>
      <c r="J110" s="13" t="str">
        <f>TRUNC(SUMIF(A110:A114,"Residential Load",F110:F114),3)&amp;"(0.6)"</f>
        <v>368(0.6)</v>
      </c>
      <c r="K110" s="2" t="s">
        <v>74</v>
      </c>
      <c r="L110" s="13" t="str">
        <f>TRUNC(SUMIF(A110:A114,"Commercial Load",F110:F114),3)&amp;"(0.7)"</f>
        <v>241.5(0.7)</v>
      </c>
      <c r="M110" s="2" t="s">
        <v>74</v>
      </c>
      <c r="N110" s="13" t="str">
        <f>TRUNC(SUMIF(A110:A114,"Industrial Load",F110:F114),3)&amp;"(0.65)"</f>
        <v>0(0.65)</v>
      </c>
      <c r="O110" s="2" t="str">
        <f>"="</f>
        <v>=</v>
      </c>
      <c r="P110" s="20">
        <f>((SUMIF(A110:A114,"Residential Load",F110:F114)*MID(J110,LEN(J110)-3,3))/J111)+((SUMIF(A110:A114,"Commercial Load",F110:F114)*MID(L110,LEN(L110)-3,3))/L111)+((SUMIF(A110:A114,"Industrial Load",F110:F114)*MID(N110,LEN(N110)-3,3))/N111)</f>
        <v>226.18767123287671</v>
      </c>
      <c r="Q110" s="22" t="s">
        <v>75</v>
      </c>
      <c r="R110" s="2">
        <v>0.9</v>
      </c>
      <c r="S110" s="21">
        <f>P110/R110</f>
        <v>251.31963470319633</v>
      </c>
      <c r="U110" s="12" t="s">
        <v>88</v>
      </c>
      <c r="Y110">
        <f>MID(U110,9,SEARCH("T",U110,1)-14)*1</f>
        <v>300</v>
      </c>
    </row>
    <row r="111" spans="1:25" x14ac:dyDescent="0.3">
      <c r="A111" s="4" t="s">
        <v>7</v>
      </c>
      <c r="B111" s="2">
        <v>80</v>
      </c>
      <c r="C111" s="2">
        <v>20</v>
      </c>
      <c r="D111" s="2">
        <v>1</v>
      </c>
      <c r="E111" s="2">
        <v>230</v>
      </c>
      <c r="F111" s="14">
        <f>Table1517[[#This Row],[NO. OF ESTABLISHMENTS]]*Table1517[[#This Row],[ESTIMATED AVERAGE AMPACITY]]*Table1517[[#This Row],[VOLTAGE]]/1000</f>
        <v>368</v>
      </c>
      <c r="J111" s="2">
        <v>2</v>
      </c>
      <c r="L111" s="2">
        <v>1.46</v>
      </c>
      <c r="N111" s="2">
        <v>0.86</v>
      </c>
    </row>
    <row r="112" spans="1:25" x14ac:dyDescent="0.3">
      <c r="A112" s="4" t="s">
        <v>8</v>
      </c>
      <c r="B112" s="2">
        <v>15</v>
      </c>
      <c r="C112" s="2">
        <v>70</v>
      </c>
      <c r="D112" s="2">
        <v>1</v>
      </c>
      <c r="E112" s="2">
        <v>230</v>
      </c>
      <c r="F112" s="14">
        <f>Table1517[[#This Row],[NO. OF ESTABLISHMENTS]]*Table1517[[#This Row],[ESTIMATED AVERAGE AMPACITY]]*Table1517[[#This Row],[VOLTAGE]]/1000</f>
        <v>241.5</v>
      </c>
    </row>
    <row r="113" spans="1:25" x14ac:dyDescent="0.3">
      <c r="A113" s="4" t="s">
        <v>9</v>
      </c>
      <c r="B113" s="2">
        <v>0</v>
      </c>
      <c r="C113" s="2">
        <v>0</v>
      </c>
      <c r="D113" s="2">
        <v>0</v>
      </c>
      <c r="E113" s="2">
        <v>0</v>
      </c>
      <c r="F113" s="14">
        <f>Table1517[[#This Row],[NO. OF ESTABLISHMENTS]]*Table1517[[#This Row],[ESTIMATED AVERAGE AMPACITY]]*Table1517[[#This Row],[VOLTAGE]]/1000</f>
        <v>0</v>
      </c>
      <c r="H113" t="s">
        <v>79</v>
      </c>
      <c r="I113" s="2" t="str">
        <f>"="</f>
        <v>=</v>
      </c>
      <c r="J113" s="2" t="str">
        <f>IF((COUNTIF(A110:A114,"Commercial Load (Bulk)")&gt;0),TRUNC(LOOKUP("Commercial Load (Bulk)",A110:A114,F110:F114))&amp;"(0.7)",IF(COUNTIF(A110:A114,"Industrial Load (Bulk)")&gt;0,TRUNC(LOOKUP("Industrial Load (Bulk)",A110:A114,F110:F114))&amp;"(0.7)",""))</f>
        <v/>
      </c>
      <c r="P113" s="24" t="str">
        <f>IF((COUNTIF(A110:A114,"Commercial Load (Bulk)")&gt;0),(LOOKUP("Commercial Load (Bulk)",A110:A114,F110:F114)*MID(J113,LEN(J113)-3,3))/J114,IF(COUNTIF(A110:A114,"Industrial Load (Bulk)")&gt;0,(LOOKUP("Industrial Load (Bulk)",A110:A114,F110:F114)*MID(J113,LEN(J113)-3,3))/J114,""))</f>
        <v/>
      </c>
      <c r="S113" s="21" t="str">
        <f>IF(ISBLANK(R113),"",P113/R113)</f>
        <v/>
      </c>
    </row>
    <row r="114" spans="1:25" x14ac:dyDescent="0.3">
      <c r="J114" s="23" t="str">
        <f>IF((COUNTIF(A110:A114,"Commercial Load (Bulk)")&gt;0),"0.9",IF(COUNTIF(A110:A114,"Industrial Load (Bulk)")&gt;0,"0.9",""))</f>
        <v/>
      </c>
    </row>
    <row r="116" spans="1:25" x14ac:dyDescent="0.3">
      <c r="A116" s="67" t="s">
        <v>23</v>
      </c>
      <c r="B116" s="67"/>
      <c r="C116" s="67"/>
      <c r="D116" s="67"/>
      <c r="E116" s="67"/>
      <c r="F116" s="67"/>
    </row>
    <row r="117" spans="1:25" ht="15" thickBot="1" x14ac:dyDescent="0.35">
      <c r="R117" s="2" t="s">
        <v>76</v>
      </c>
      <c r="S117" s="25" t="s">
        <v>77</v>
      </c>
    </row>
    <row r="118" spans="1:25" ht="15" thickBot="1" x14ac:dyDescent="0.35">
      <c r="A118" s="5" t="s">
        <v>1</v>
      </c>
      <c r="B118" s="1" t="s">
        <v>2</v>
      </c>
      <c r="C118" s="1" t="s">
        <v>3</v>
      </c>
      <c r="D118" s="1" t="s">
        <v>4</v>
      </c>
      <c r="E118" s="1" t="s">
        <v>5</v>
      </c>
      <c r="F118" s="15" t="s">
        <v>6</v>
      </c>
      <c r="H118" t="s">
        <v>72</v>
      </c>
      <c r="I118" s="2" t="s">
        <v>73</v>
      </c>
      <c r="J118" s="13" t="str">
        <f>TRUNC(SUMIF(A118:A122,"Residential Load",F118:F122),3)&amp;"(0.6)"</f>
        <v>920(0.6)</v>
      </c>
      <c r="K118" s="2" t="s">
        <v>74</v>
      </c>
      <c r="L118" s="13" t="str">
        <f>TRUNC(SUMIF(A118:A122,"Commercial Load",F118:F122),3)&amp;"(0.7)"</f>
        <v>517.5(0.7)</v>
      </c>
      <c r="M118" s="2" t="s">
        <v>74</v>
      </c>
      <c r="N118" s="13" t="str">
        <f>TRUNC(SUMIF(A118:A122,"Industrial Load",F118:F122),3)&amp;"(0.65)"</f>
        <v>0(0.65)</v>
      </c>
      <c r="O118" s="2" t="str">
        <f>"="</f>
        <v>=</v>
      </c>
      <c r="P118" s="20">
        <f>((SUMIF(A118:A122,"Residential Load",F118:F122)*MID(J118,LEN(J118)-3,3))/J119)+((SUMIF(A118:A122,"Commercial Load",F118:F122)*MID(L118,LEN(L118)-3,3))/L119)+((SUMIF(A118:A122,"Industrial Load",F118:F122)*MID(N118,LEN(N118)-3,3))/N119)</f>
        <v>524.11643835616439</v>
      </c>
      <c r="Q118" s="22" t="s">
        <v>75</v>
      </c>
      <c r="R118" s="2">
        <v>0.9</v>
      </c>
      <c r="S118" s="21">
        <f>P118/R118</f>
        <v>582.35159817351598</v>
      </c>
      <c r="U118" s="12" t="s">
        <v>95</v>
      </c>
      <c r="Y118">
        <f>MID(U118,9,SEARCH("T",U118,1)-14)*1</f>
        <v>600</v>
      </c>
    </row>
    <row r="119" spans="1:25" x14ac:dyDescent="0.3">
      <c r="A119" s="4" t="s">
        <v>7</v>
      </c>
      <c r="B119" s="2">
        <v>100</v>
      </c>
      <c r="C119" s="2">
        <v>40</v>
      </c>
      <c r="D119" s="2">
        <v>1</v>
      </c>
      <c r="E119" s="2">
        <v>230</v>
      </c>
      <c r="F119" s="14">
        <f>Table1618[[#This Row],[NO. OF ESTABLISHMENTS]]*Table1618[[#This Row],[ESTIMATED AVERAGE AMPACITY]]*Table1618[[#This Row],[VOLTAGE]]/1000</f>
        <v>920</v>
      </c>
      <c r="J119" s="2">
        <v>2</v>
      </c>
      <c r="L119" s="2">
        <v>1.46</v>
      </c>
      <c r="N119" s="2">
        <v>0.86</v>
      </c>
    </row>
    <row r="120" spans="1:25" x14ac:dyDescent="0.3">
      <c r="A120" s="4" t="s">
        <v>8</v>
      </c>
      <c r="B120" s="2">
        <v>25</v>
      </c>
      <c r="C120" s="2">
        <v>90</v>
      </c>
      <c r="D120" s="2">
        <v>1</v>
      </c>
      <c r="E120" s="2">
        <v>230</v>
      </c>
      <c r="F120" s="14">
        <f>Table1618[[#This Row],[NO. OF ESTABLISHMENTS]]*Table1618[[#This Row],[ESTIMATED AVERAGE AMPACITY]]*Table1618[[#This Row],[VOLTAGE]]/1000</f>
        <v>517.5</v>
      </c>
    </row>
    <row r="121" spans="1:25" x14ac:dyDescent="0.3">
      <c r="A121" s="4" t="s">
        <v>9</v>
      </c>
      <c r="B121" s="2">
        <v>0</v>
      </c>
      <c r="C121" s="2">
        <v>0</v>
      </c>
      <c r="D121" s="2">
        <v>0</v>
      </c>
      <c r="E121" s="2">
        <v>0</v>
      </c>
      <c r="F121" s="14">
        <f>Table1618[[#This Row],[NO. OF ESTABLISHMENTS]]*Table1618[[#This Row],[ESTIMATED AVERAGE AMPACITY]]*Table1618[[#This Row],[VOLTAGE]]/1000</f>
        <v>0</v>
      </c>
      <c r="H121" t="s">
        <v>79</v>
      </c>
      <c r="I121" s="2" t="str">
        <f>"="</f>
        <v>=</v>
      </c>
      <c r="J121" s="2" t="str">
        <f>IF((COUNTIF(A118:A122,"Commercial Load (Bulk)")&gt;0),TRUNC(LOOKUP("Commercial Load (Bulk)",A118:A122,F118:F122))&amp;"(0.7)",IF(COUNTIF(A118:A122,"Industrial Load (Bulk)")&gt;0,TRUNC(LOOKUP("Industrial Load (Bulk)",A118:A122,F118:F122))&amp;"(0.7)",""))</f>
        <v/>
      </c>
      <c r="P121" s="24" t="str">
        <f>IF((COUNTIF(A118:A122,"Commercial Load (Bulk)")&gt;0),(LOOKUP("Commercial Load (Bulk)",A118:A122,F118:F122)*MID(J121,LEN(J121)-3,3))/J122,IF(COUNTIF(A118:A122,"Industrial Load (Bulk)")&gt;0,(LOOKUP("Industrial Load (Bulk)",A118:A122,F118:F122)*MID(J121,LEN(J121)-3,3))/J122,""))</f>
        <v/>
      </c>
      <c r="S121" s="21" t="str">
        <f>IF(ISBLANK(R121),"",P121/R121)</f>
        <v/>
      </c>
    </row>
    <row r="122" spans="1:25" x14ac:dyDescent="0.3">
      <c r="J122" s="23" t="str">
        <f>IF((COUNTIF(A118:A122,"Commercial Load (Bulk)")&gt;0),"0.9",IF(COUNTIF(A118:A122,"Industrial Load (Bulk)")&gt;0,"0.9",""))</f>
        <v/>
      </c>
    </row>
    <row r="124" spans="1:25" x14ac:dyDescent="0.3">
      <c r="A124" s="67" t="s">
        <v>24</v>
      </c>
      <c r="B124" s="67"/>
      <c r="C124" s="67"/>
      <c r="D124" s="67"/>
      <c r="E124" s="67"/>
      <c r="F124" s="67"/>
    </row>
    <row r="125" spans="1:25" ht="15" thickBot="1" x14ac:dyDescent="0.35">
      <c r="R125" s="2" t="s">
        <v>76</v>
      </c>
      <c r="S125" s="25" t="s">
        <v>77</v>
      </c>
    </row>
    <row r="126" spans="1:25" ht="15" thickBot="1" x14ac:dyDescent="0.35">
      <c r="A126" s="5" t="s">
        <v>1</v>
      </c>
      <c r="B126" s="1" t="s">
        <v>2</v>
      </c>
      <c r="C126" s="1" t="s">
        <v>3</v>
      </c>
      <c r="D126" s="1" t="s">
        <v>4</v>
      </c>
      <c r="E126" s="1" t="s">
        <v>5</v>
      </c>
      <c r="F126" s="15" t="s">
        <v>6</v>
      </c>
      <c r="H126" t="s">
        <v>72</v>
      </c>
      <c r="I126" s="2" t="s">
        <v>73</v>
      </c>
      <c r="J126" s="13" t="str">
        <f>TRUNC(SUMIF(A126:A130,"Residential Load",F126:F130),3)&amp;"(0.6)"</f>
        <v>241.5(0.6)</v>
      </c>
      <c r="K126" s="2" t="s">
        <v>74</v>
      </c>
      <c r="L126" s="13" t="str">
        <f>TRUNC(SUMIF(A126:A130,"Commercial Load",F126:F130),3)&amp;"(0.7)"</f>
        <v>149.5(0.7)</v>
      </c>
      <c r="M126" s="2" t="s">
        <v>74</v>
      </c>
      <c r="N126" s="13" t="str">
        <f>TRUNC(SUMIF(A126:A130,"Industrial Load",F126:F130),3)&amp;"(0.65)"</f>
        <v>0(0.65)</v>
      </c>
      <c r="O126" s="2" t="str">
        <f>"="</f>
        <v>=</v>
      </c>
      <c r="P126" s="20">
        <f>((SUMIF(A126:A130,"Residential Load",F126:F130)*MID(J126,LEN(J126)-3,3))/J127)+((SUMIF(A126:A130,"Commercial Load",F126:F130)*MID(L126,LEN(L126)-3,3))/L127)+((SUMIF(A126:A130,"Industrial Load",F126:F130)*MID(N126,LEN(N126)-3,3))/N127)</f>
        <v>144.12808219178083</v>
      </c>
      <c r="Q126" s="22" t="s">
        <v>75</v>
      </c>
      <c r="R126" s="2">
        <v>0.9</v>
      </c>
      <c r="S126" s="21">
        <f>P126/R126</f>
        <v>160.14231354642314</v>
      </c>
      <c r="U126" s="12" t="s">
        <v>97</v>
      </c>
      <c r="Y126">
        <f>MID(U126,9,SEARCH("T",U126,1)-14)*1</f>
        <v>225</v>
      </c>
    </row>
    <row r="127" spans="1:25" x14ac:dyDescent="0.3">
      <c r="A127" s="4" t="s">
        <v>7</v>
      </c>
      <c r="B127" s="2">
        <v>70</v>
      </c>
      <c r="C127" s="2">
        <v>15</v>
      </c>
      <c r="D127" s="2">
        <v>1</v>
      </c>
      <c r="E127" s="2">
        <v>230</v>
      </c>
      <c r="F127" s="14">
        <f>Table1719[[#This Row],[NO. OF ESTABLISHMENTS]]*Table1719[[#This Row],[ESTIMATED AVERAGE AMPACITY]]*Table1719[[#This Row],[VOLTAGE]]/1000</f>
        <v>241.5</v>
      </c>
      <c r="J127" s="2">
        <v>2</v>
      </c>
      <c r="L127" s="2">
        <v>1.46</v>
      </c>
      <c r="N127" s="2">
        <v>0.86</v>
      </c>
    </row>
    <row r="128" spans="1:25" x14ac:dyDescent="0.3">
      <c r="A128" s="4" t="s">
        <v>8</v>
      </c>
      <c r="B128" s="2">
        <v>10</v>
      </c>
      <c r="C128" s="2">
        <v>65</v>
      </c>
      <c r="D128" s="2">
        <v>1</v>
      </c>
      <c r="E128" s="2">
        <v>230</v>
      </c>
      <c r="F128" s="14">
        <f>Table1719[[#This Row],[NO. OF ESTABLISHMENTS]]*Table1719[[#This Row],[ESTIMATED AVERAGE AMPACITY]]*Table1719[[#This Row],[VOLTAGE]]/1000</f>
        <v>149.5</v>
      </c>
    </row>
    <row r="129" spans="1:25" x14ac:dyDescent="0.3">
      <c r="A129" s="4" t="s">
        <v>9</v>
      </c>
      <c r="B129" s="2">
        <v>0</v>
      </c>
      <c r="C129" s="2">
        <v>0</v>
      </c>
      <c r="D129" s="2">
        <v>0</v>
      </c>
      <c r="E129" s="2">
        <v>0</v>
      </c>
      <c r="F129" s="14">
        <f>Table1719[[#This Row],[NO. OF ESTABLISHMENTS]]*Table1719[[#This Row],[ESTIMATED AVERAGE AMPACITY]]*Table1719[[#This Row],[VOLTAGE]]/1000</f>
        <v>0</v>
      </c>
      <c r="H129" t="s">
        <v>79</v>
      </c>
      <c r="I129" s="2" t="str">
        <f>"="</f>
        <v>=</v>
      </c>
      <c r="J129" s="2" t="str">
        <f>IF((COUNTIF(A126:A130,"Commercial Load (Bulk)")&gt;0),TRUNC(LOOKUP("Commercial Load (Bulk)",A126:A130,F126:F130))&amp;"(0.7)",IF(COUNTIF(A126:A130,"Industrial Load (Bulk)")&gt;0,TRUNC(LOOKUP("Industrial Load (Bulk)",A126:A130,F126:F130))&amp;"(0.7)",""))</f>
        <v/>
      </c>
      <c r="P129" s="24" t="str">
        <f>IF((COUNTIF(A126:A130,"Commercial Load (Bulk)")&gt;0),(LOOKUP("Commercial Load (Bulk)",A126:A130,F126:F130)*MID(J129,LEN(J129)-3,3))/J130,IF(COUNTIF(A126:A130,"Industrial Load (Bulk)")&gt;0,(LOOKUP("Industrial Load (Bulk)",A126:A130,F126:F130)*MID(J129,LEN(J129)-3,3))/J130,""))</f>
        <v/>
      </c>
      <c r="S129" s="21" t="str">
        <f>IF(ISBLANK(R129),"",P129/R129)</f>
        <v/>
      </c>
    </row>
    <row r="130" spans="1:25" x14ac:dyDescent="0.3">
      <c r="J130" s="23" t="str">
        <f>IF((COUNTIF(A126:A130,"Commercial Load (Bulk)")&gt;0),"0.9",IF(COUNTIF(A126:A130,"Industrial Load (Bulk)")&gt;0,"0.9",""))</f>
        <v/>
      </c>
    </row>
    <row r="132" spans="1:25" x14ac:dyDescent="0.3">
      <c r="A132" s="67" t="s">
        <v>25</v>
      </c>
      <c r="B132" s="67"/>
      <c r="C132" s="67"/>
      <c r="D132" s="67"/>
      <c r="E132" s="67"/>
      <c r="F132" s="67"/>
    </row>
    <row r="133" spans="1:25" ht="15" thickBot="1" x14ac:dyDescent="0.35">
      <c r="R133" s="2" t="s">
        <v>76</v>
      </c>
      <c r="S133" s="25" t="s">
        <v>77</v>
      </c>
    </row>
    <row r="134" spans="1:25" ht="15" thickBot="1" x14ac:dyDescent="0.35">
      <c r="A134" s="5" t="s">
        <v>1</v>
      </c>
      <c r="B134" s="1" t="s">
        <v>2</v>
      </c>
      <c r="C134" s="1" t="s">
        <v>3</v>
      </c>
      <c r="D134" s="1" t="s">
        <v>4</v>
      </c>
      <c r="E134" s="1" t="s">
        <v>5</v>
      </c>
      <c r="F134" s="15" t="s">
        <v>6</v>
      </c>
      <c r="H134" t="s">
        <v>72</v>
      </c>
      <c r="I134" s="2" t="s">
        <v>73</v>
      </c>
      <c r="J134" s="13" t="str">
        <f>TRUNC(SUMIF(A134:A138,"Residential Load",F134:F138),3)&amp;"(0.6)"</f>
        <v>460(0.6)</v>
      </c>
      <c r="K134" s="2" t="s">
        <v>74</v>
      </c>
      <c r="L134" s="13" t="str">
        <f>TRUNC(SUMIF(A134:A138,"Commercial Load",F134:F138),3)&amp;"(0.7)"</f>
        <v>241.5(0.7)</v>
      </c>
      <c r="M134" s="2" t="s">
        <v>74</v>
      </c>
      <c r="N134" s="13" t="str">
        <f>TRUNC(SUMIF(A134:A138,"Industrial Load",F134:F138),3)&amp;"(0.65)"</f>
        <v>0(0.65)</v>
      </c>
      <c r="O134" s="2" t="str">
        <f>"="</f>
        <v>=</v>
      </c>
      <c r="P134" s="20">
        <f>((SUMIF(A134:A138,"Residential Load",F134:F138)*MID(J134,LEN(J134)-3,3))/J135)+((SUMIF(A134:A138,"Commercial Load",F134:F138)*MID(L134,LEN(L134)-3,3))/L135)+((SUMIF(A134:A138,"Industrial Load",F134:F138)*MID(N134,LEN(N134)-3,3))/N135)</f>
        <v>253.7876712328767</v>
      </c>
      <c r="Q134" s="22" t="s">
        <v>75</v>
      </c>
      <c r="R134" s="2">
        <v>0.9</v>
      </c>
      <c r="S134" s="21">
        <f>P134/R134</f>
        <v>281.98630136986299</v>
      </c>
      <c r="U134" s="12" t="s">
        <v>88</v>
      </c>
      <c r="Y134">
        <f>MID(U134,9,SEARCH("T",U134,1)-14)*1</f>
        <v>300</v>
      </c>
    </row>
    <row r="135" spans="1:25" x14ac:dyDescent="0.3">
      <c r="A135" s="4" t="s">
        <v>7</v>
      </c>
      <c r="B135" s="2">
        <v>100</v>
      </c>
      <c r="C135" s="2">
        <v>20</v>
      </c>
      <c r="D135" s="2">
        <v>1</v>
      </c>
      <c r="E135" s="2">
        <v>230</v>
      </c>
      <c r="F135" s="14">
        <f>Table15820[[#This Row],[NO. OF ESTABLISHMENTS]]*Table15820[[#This Row],[ESTIMATED AVERAGE AMPACITY]]*Table15820[[#This Row],[VOLTAGE]]/1000</f>
        <v>460</v>
      </c>
      <c r="J135" s="2">
        <v>2</v>
      </c>
      <c r="L135" s="2">
        <v>1.46</v>
      </c>
      <c r="N135" s="2">
        <v>0.86</v>
      </c>
    </row>
    <row r="136" spans="1:25" x14ac:dyDescent="0.3">
      <c r="A136" s="4" t="s">
        <v>8</v>
      </c>
      <c r="B136" s="2">
        <v>15</v>
      </c>
      <c r="C136" s="2">
        <v>70</v>
      </c>
      <c r="D136" s="2">
        <v>1</v>
      </c>
      <c r="E136" s="2">
        <v>230</v>
      </c>
      <c r="F136" s="14">
        <f>Table15820[[#This Row],[NO. OF ESTABLISHMENTS]]*Table15820[[#This Row],[ESTIMATED AVERAGE AMPACITY]]*Table15820[[#This Row],[VOLTAGE]]/1000</f>
        <v>241.5</v>
      </c>
    </row>
    <row r="137" spans="1:25" x14ac:dyDescent="0.3">
      <c r="A137" s="4" t="s">
        <v>9</v>
      </c>
      <c r="B137" s="2">
        <v>0</v>
      </c>
      <c r="C137" s="2">
        <v>0</v>
      </c>
      <c r="D137" s="2">
        <v>0</v>
      </c>
      <c r="E137" s="2">
        <v>0</v>
      </c>
      <c r="F137" s="14">
        <f>Table15820[[#This Row],[NO. OF ESTABLISHMENTS]]*Table15820[[#This Row],[ESTIMATED AVERAGE AMPACITY]]*Table15820[[#This Row],[VOLTAGE]]/1000</f>
        <v>0</v>
      </c>
      <c r="H137" t="s">
        <v>79</v>
      </c>
      <c r="I137" s="2" t="str">
        <f>"="</f>
        <v>=</v>
      </c>
      <c r="J137" s="2" t="str">
        <f>IF((COUNTIF(A134:A138,"Commercial Load (Bulk)")&gt;0),TRUNC(LOOKUP("Commercial Load (Bulk)",A134:A138,F134:F138))&amp;"(0.7)",IF(COUNTIF(A134:A138,"Industrial Load (Bulk)")&gt;0,TRUNC(LOOKUP("Industrial Load (Bulk)",A134:A138,F134:F138))&amp;"(0.7)",""))</f>
        <v/>
      </c>
      <c r="P137" s="24" t="str">
        <f>IF((COUNTIF(A134:A138,"Commercial Load (Bulk)")&gt;0),(LOOKUP("Commercial Load (Bulk)",A134:A138,F134:F138)*MID(J137,LEN(J137)-3,3))/J138,IF(COUNTIF(A134:A138,"Industrial Load (Bulk)")&gt;0,(LOOKUP("Industrial Load (Bulk)",A134:A138,F134:F138)*MID(J137,LEN(J137)-3,3))/J138,""))</f>
        <v/>
      </c>
      <c r="S137" s="21" t="str">
        <f>IF(ISBLANK(R137),"",P137/R137)</f>
        <v/>
      </c>
    </row>
    <row r="138" spans="1:25" x14ac:dyDescent="0.3">
      <c r="J138" s="23" t="str">
        <f>IF((COUNTIF(A134:A138,"Commercial Load (Bulk)")&gt;0),"0.9",IF(COUNTIF(A134:A138,"Industrial Load (Bulk)")&gt;0,"0.9",""))</f>
        <v/>
      </c>
    </row>
    <row r="140" spans="1:25" x14ac:dyDescent="0.3">
      <c r="A140" s="67" t="s">
        <v>26</v>
      </c>
      <c r="B140" s="67"/>
      <c r="C140" s="67"/>
      <c r="D140" s="67"/>
      <c r="E140" s="67"/>
      <c r="F140" s="67"/>
    </row>
    <row r="141" spans="1:25" ht="15" thickBot="1" x14ac:dyDescent="0.35">
      <c r="R141" s="2" t="s">
        <v>76</v>
      </c>
      <c r="S141" s="25" t="s">
        <v>77</v>
      </c>
    </row>
    <row r="142" spans="1:25" ht="15" thickBot="1" x14ac:dyDescent="0.35">
      <c r="A142" s="5" t="s">
        <v>1</v>
      </c>
      <c r="B142" s="1" t="s">
        <v>2</v>
      </c>
      <c r="C142" s="1" t="s">
        <v>3</v>
      </c>
      <c r="D142" s="1" t="s">
        <v>4</v>
      </c>
      <c r="E142" s="1" t="s">
        <v>5</v>
      </c>
      <c r="F142" s="15" t="s">
        <v>6</v>
      </c>
      <c r="H142" t="s">
        <v>72</v>
      </c>
      <c r="I142" s="2" t="s">
        <v>73</v>
      </c>
      <c r="J142" s="13" t="str">
        <f>TRUNC(SUMIF(A142:A146,"Residential Load",F142:F146),3)&amp;"(0.6)"</f>
        <v>1104(0.6)</v>
      </c>
      <c r="K142" s="2" t="s">
        <v>74</v>
      </c>
      <c r="L142" s="13" t="str">
        <f>TRUNC(SUMIF(A142:A146,"Commercial Load",F142:F146),3)&amp;"(0.7)"</f>
        <v>621(0.7)</v>
      </c>
      <c r="M142" s="2" t="s">
        <v>74</v>
      </c>
      <c r="N142" s="13" t="str">
        <f>TRUNC(SUMIF(A142:A146,"Industrial Load",F142:F146),3)&amp;"(0.65)"</f>
        <v>0(0.65)</v>
      </c>
      <c r="O142" s="2" t="str">
        <f>"="</f>
        <v>=</v>
      </c>
      <c r="P142" s="20">
        <f>((SUMIF(A142:A146,"Residential Load",F142:F146)*MID(J142,LEN(J142)-3,3))/J143)+((SUMIF(A142:A146,"Commercial Load",F142:F146)*MID(L142,LEN(L142)-3,3))/L143)+((SUMIF(A142:A146,"Industrial Load",F142:F146)*MID(N142,LEN(N142)-3,3))/N143)</f>
        <v>628.93972602739723</v>
      </c>
      <c r="Q142" s="22" t="s">
        <v>75</v>
      </c>
      <c r="R142" s="2">
        <v>0.9</v>
      </c>
      <c r="S142" s="21">
        <f>P142/R142</f>
        <v>698.82191780821915</v>
      </c>
      <c r="U142" s="12" t="s">
        <v>91</v>
      </c>
      <c r="Y142">
        <f>MID(U142,9,SEARCH("T",U142,1)-14)*1</f>
        <v>800</v>
      </c>
    </row>
    <row r="143" spans="1:25" x14ac:dyDescent="0.3">
      <c r="A143" s="4" t="s">
        <v>7</v>
      </c>
      <c r="B143" s="2">
        <v>120</v>
      </c>
      <c r="C143" s="2">
        <v>40</v>
      </c>
      <c r="D143" s="2">
        <v>1</v>
      </c>
      <c r="E143" s="2">
        <v>230</v>
      </c>
      <c r="F143" s="14">
        <f>Table16921[[#This Row],[NO. OF ESTABLISHMENTS]]*Table16921[[#This Row],[ESTIMATED AVERAGE AMPACITY]]*Table16921[[#This Row],[VOLTAGE]]/1000</f>
        <v>1104</v>
      </c>
      <c r="J143" s="2">
        <v>2</v>
      </c>
      <c r="L143" s="2">
        <v>1.46</v>
      </c>
      <c r="N143" s="2">
        <v>0.86</v>
      </c>
    </row>
    <row r="144" spans="1:25" x14ac:dyDescent="0.3">
      <c r="A144" s="4" t="s">
        <v>8</v>
      </c>
      <c r="B144" s="2">
        <v>30</v>
      </c>
      <c r="C144" s="2">
        <v>90</v>
      </c>
      <c r="D144" s="2">
        <v>1</v>
      </c>
      <c r="E144" s="2">
        <v>230</v>
      </c>
      <c r="F144" s="14">
        <f>Table16921[[#This Row],[NO. OF ESTABLISHMENTS]]*Table16921[[#This Row],[ESTIMATED AVERAGE AMPACITY]]*Table16921[[#This Row],[VOLTAGE]]/1000</f>
        <v>621</v>
      </c>
    </row>
    <row r="145" spans="1:19" x14ac:dyDescent="0.3">
      <c r="A145" s="4" t="s">
        <v>9</v>
      </c>
      <c r="B145" s="2">
        <v>0</v>
      </c>
      <c r="C145" s="2">
        <v>0</v>
      </c>
      <c r="D145" s="2">
        <v>0</v>
      </c>
      <c r="E145" s="2">
        <v>0</v>
      </c>
      <c r="F145" s="14">
        <f>Table16921[[#This Row],[NO. OF ESTABLISHMENTS]]*Table16921[[#This Row],[ESTIMATED AVERAGE AMPACITY]]*Table16921[[#This Row],[VOLTAGE]]/1000</f>
        <v>0</v>
      </c>
      <c r="H145" t="s">
        <v>79</v>
      </c>
      <c r="I145" s="2" t="str">
        <f>"="</f>
        <v>=</v>
      </c>
      <c r="J145" s="2" t="str">
        <f>IF((COUNTIF(A142:A146,"Commercial Load (Bulk)")&gt;0),TRUNC(LOOKUP("Commercial Load (Bulk)",A142:A146,F142:F146))&amp;"(0.7)",IF(COUNTIF(A142:A146,"Industrial Load (Bulk)")&gt;0,TRUNC(LOOKUP("Industrial Load (Bulk)",A142:A146,F142:F146))&amp;"(0.7)",""))</f>
        <v/>
      </c>
      <c r="P145" s="24" t="str">
        <f>IF((COUNTIF(A142:A146,"Commercial Load (Bulk)")&gt;0),(LOOKUP("Commercial Load (Bulk)",A142:A146,F142:F146)*MID(J145,LEN(J145)-3,3))/J146,IF(COUNTIF(A142:A146,"Industrial Load (Bulk)")&gt;0,(LOOKUP("Industrial Load (Bulk)",A142:A146,F142:F146)*MID(J145,LEN(J145)-3,3))/J146,""))</f>
        <v/>
      </c>
      <c r="S145" s="21" t="str">
        <f>IF(ISBLANK(R145),"",P145/R145)</f>
        <v/>
      </c>
    </row>
    <row r="146" spans="1:19" x14ac:dyDescent="0.3">
      <c r="J146" s="23" t="str">
        <f>IF((COUNTIF(A142:A146,"Commercial Load (Bulk)")&gt;0),"0.9",IF(COUNTIF(A142:A146,"Industrial Load (Bulk)")&gt;0,"0.9",""))</f>
        <v/>
      </c>
    </row>
  </sheetData>
  <mergeCells count="18">
    <mergeCell ref="A43:F43"/>
    <mergeCell ref="A2:F2"/>
    <mergeCell ref="A10:F10"/>
    <mergeCell ref="A18:F18"/>
    <mergeCell ref="A27:F27"/>
    <mergeCell ref="A35:F35"/>
    <mergeCell ref="A140:F140"/>
    <mergeCell ref="A51:F51"/>
    <mergeCell ref="A59:F59"/>
    <mergeCell ref="A68:F68"/>
    <mergeCell ref="A76:F76"/>
    <mergeCell ref="A84:F84"/>
    <mergeCell ref="A92:F92"/>
    <mergeCell ref="A100:F100"/>
    <mergeCell ref="A108:F108"/>
    <mergeCell ref="A116:F116"/>
    <mergeCell ref="A124:F124"/>
    <mergeCell ref="A132:F132"/>
  </mergeCells>
  <phoneticPr fontId="6" type="noConversion"/>
  <pageMargins left="0.7" right="0.7" top="0.75" bottom="0.75" header="0.3" footer="0.3"/>
  <pageSetup orientation="portrait" r:id="rId1"/>
  <tableParts count="1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CB35-C56A-49C1-B679-B26D8671070F}">
  <dimension ref="A2:AS296"/>
  <sheetViews>
    <sheetView showGridLines="0" zoomScale="60" zoomScaleNormal="60" workbookViewId="0">
      <selection sqref="A1:XFD1048576"/>
    </sheetView>
  </sheetViews>
  <sheetFormatPr defaultRowHeight="14.4" x14ac:dyDescent="0.3"/>
  <cols>
    <col min="1" max="1" width="32.88671875" style="4" customWidth="1"/>
    <col min="2" max="2" width="41.5546875" style="2" bestFit="1" customWidth="1"/>
    <col min="3" max="3" width="50.88671875" style="2" bestFit="1" customWidth="1"/>
    <col min="4" max="4" width="33.109375" style="2" bestFit="1" customWidth="1"/>
    <col min="5" max="5" width="20.88671875" style="2" bestFit="1" customWidth="1"/>
    <col min="6" max="6" width="24.77734375" style="14" bestFit="1" customWidth="1"/>
    <col min="8" max="8" width="48.6640625" bestFit="1" customWidth="1"/>
    <col min="9" max="9" width="2.5546875" style="2" bestFit="1" customWidth="1"/>
    <col min="10" max="10" width="10.44140625" style="2" bestFit="1" customWidth="1"/>
    <col min="11" max="11" width="2.5546875" style="2" bestFit="1" customWidth="1"/>
    <col min="12" max="12" width="11.5546875" style="2" bestFit="1" customWidth="1"/>
    <col min="13" max="13" width="2.5546875" style="2" bestFit="1" customWidth="1"/>
    <col min="14" max="14" width="7.6640625" style="2" bestFit="1" customWidth="1"/>
    <col min="15" max="15" width="2.5546875" style="2" bestFit="1" customWidth="1"/>
    <col min="16" max="16" width="16" style="21" bestFit="1" customWidth="1"/>
    <col min="17" max="17" width="6.21875" style="12" bestFit="1" customWidth="1"/>
    <col min="18" max="18" width="13.6640625" bestFit="1" customWidth="1"/>
    <col min="19" max="19" width="8.77734375" style="12" bestFit="1" customWidth="1"/>
    <col min="21" max="21" width="41.77734375" bestFit="1" customWidth="1"/>
    <col min="24" max="24" width="10.88671875" customWidth="1"/>
    <col min="25" max="25" width="6.77734375" bestFit="1" customWidth="1"/>
    <col min="26" max="26" width="32.88671875" style="24" bestFit="1" customWidth="1"/>
    <col min="27" max="27" width="18.21875" style="2" bestFit="1" customWidth="1"/>
    <col min="28" max="28" width="43.44140625" style="2" bestFit="1" customWidth="1"/>
    <col min="29" max="29" width="9" style="2" bestFit="1" customWidth="1"/>
    <col min="30" max="30" width="13.44140625" style="2" bestFit="1" customWidth="1"/>
    <col min="31" max="31" width="17.33203125" style="2" bestFit="1" customWidth="1"/>
    <col min="33" max="33" width="40.44140625" style="2" bestFit="1" customWidth="1"/>
    <col min="34" max="34" width="2.5546875" style="2" bestFit="1" customWidth="1"/>
    <col min="35" max="35" width="10.44140625" style="2" bestFit="1" customWidth="1"/>
    <col min="36" max="36" width="2.5546875" style="2" bestFit="1" customWidth="1"/>
    <col min="37" max="37" width="11.5546875" style="2" bestFit="1" customWidth="1"/>
    <col min="38" max="38" width="2.5546875" style="2" bestFit="1" customWidth="1"/>
    <col min="39" max="39" width="7.6640625" style="2" bestFit="1" customWidth="1"/>
    <col min="40" max="40" width="2.5546875" style="2" bestFit="1" customWidth="1"/>
    <col min="41" max="41" width="8.44140625" style="2" bestFit="1" customWidth="1"/>
    <col min="42" max="42" width="5.33203125" style="2" bestFit="1" customWidth="1"/>
    <col min="43" max="43" width="13.6640625" style="2" bestFit="1" customWidth="1"/>
    <col min="44" max="44" width="7.33203125" style="2" bestFit="1" customWidth="1"/>
    <col min="45" max="45" width="36" style="2" bestFit="1" customWidth="1"/>
  </cols>
  <sheetData>
    <row r="2" spans="1:29" x14ac:dyDescent="0.3">
      <c r="A2" s="3" t="s">
        <v>27</v>
      </c>
    </row>
    <row r="3" spans="1:29" ht="15" thickBot="1" x14ac:dyDescent="0.35">
      <c r="R3" s="2" t="s">
        <v>76</v>
      </c>
      <c r="S3" s="25" t="s">
        <v>77</v>
      </c>
      <c r="U3" s="12" t="s">
        <v>87</v>
      </c>
    </row>
    <row r="4" spans="1:29" ht="15" thickBot="1" x14ac:dyDescent="0.35">
      <c r="A4" s="5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5" t="s">
        <v>6</v>
      </c>
      <c r="H4" t="s">
        <v>72</v>
      </c>
      <c r="I4" s="2" t="s">
        <v>73</v>
      </c>
      <c r="J4" s="13" t="str">
        <f>TRUNC(SUMIF(A4:A8,"Residential Load",F4:F8),3)&amp;"(0.6)"</f>
        <v>1242(0.6)</v>
      </c>
      <c r="K4" s="2" t="s">
        <v>74</v>
      </c>
      <c r="L4" s="13" t="str">
        <f>TRUNC(SUMIF(A4:A8,"Commercial Load",F4:F8),3)&amp;"(0.7)"</f>
        <v>414(0.7)</v>
      </c>
      <c r="M4" s="2" t="s">
        <v>74</v>
      </c>
      <c r="N4" s="13" t="str">
        <f>TRUNC(SUMIF(A4:A8,"Industrial Load",F4:F8),3)&amp;"(0.65)"</f>
        <v>0(0.65)</v>
      </c>
      <c r="O4" s="2" t="str">
        <f>"="</f>
        <v>=</v>
      </c>
      <c r="P4" s="20">
        <f>((SUMIF(A4:A8,"Residential Load",F4:F8)*MID(J4,LEN(J4)-3,3))/J5)+((SUMIF(A4:A8,"Commercial Load",F4:F8)*MID(L4,LEN(L4)-3,3))/L5)+((SUMIF(A4:A8,"Industrial Load",F4:F8)*MID(N4,LEN(N4)-3,3))/N5)</f>
        <v>571.09315068493152</v>
      </c>
      <c r="Q4" s="22" t="s">
        <v>75</v>
      </c>
      <c r="R4" s="2">
        <v>0.9</v>
      </c>
      <c r="S4" s="21">
        <f>P4/R4</f>
        <v>634.54794520547944</v>
      </c>
      <c r="U4" s="12" t="s">
        <v>91</v>
      </c>
      <c r="Y4">
        <f>MID(U4,9,SEARCH("T",U4,1)-14)*1</f>
        <v>800</v>
      </c>
    </row>
    <row r="5" spans="1:29" x14ac:dyDescent="0.3">
      <c r="A5" s="4" t="s">
        <v>7</v>
      </c>
      <c r="B5" s="2">
        <v>120</v>
      </c>
      <c r="C5" s="2">
        <v>45</v>
      </c>
      <c r="D5" s="2">
        <v>1</v>
      </c>
      <c r="E5" s="2">
        <v>230</v>
      </c>
      <c r="F5" s="14">
        <f>Table122[[#This Row],[NO. OF ESTABLISHMENTS]]*Table122[[#This Row],[ESTIMATED AVERAGE AMPACITY]]*Table122[[#This Row],[VOLTAGE]]/1000</f>
        <v>1242</v>
      </c>
      <c r="J5" s="2">
        <v>2</v>
      </c>
      <c r="L5" s="2">
        <v>1.46</v>
      </c>
      <c r="N5" s="2">
        <v>0.86</v>
      </c>
      <c r="R5" s="2"/>
      <c r="S5" s="21"/>
      <c r="AA5" s="2" t="s">
        <v>1</v>
      </c>
    </row>
    <row r="6" spans="1:29" x14ac:dyDescent="0.3">
      <c r="A6" s="4" t="s">
        <v>8</v>
      </c>
      <c r="B6" s="2">
        <v>20</v>
      </c>
      <c r="C6" s="2">
        <v>90</v>
      </c>
      <c r="D6" s="2">
        <v>1</v>
      </c>
      <c r="E6" s="2">
        <v>230</v>
      </c>
      <c r="F6" s="14">
        <f>Table122[[#This Row],[NO. OF ESTABLISHMENTS]]*Table122[[#This Row],[ESTIMATED AVERAGE AMPACITY]]*Table122[[#This Row],[VOLTAGE]]/1000</f>
        <v>414</v>
      </c>
      <c r="R6" s="2"/>
      <c r="S6" s="21"/>
      <c r="AA6" s="2" t="s">
        <v>7</v>
      </c>
      <c r="AC6" s="2">
        <f ca="1">SUMIF($A$4:$F$119,AA6,$F$4:$F$119)</f>
        <v>10683.5</v>
      </c>
    </row>
    <row r="7" spans="1:29" x14ac:dyDescent="0.3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14">
        <v>0</v>
      </c>
      <c r="H7" t="s">
        <v>79</v>
      </c>
      <c r="I7" s="2" t="str">
        <f>"="</f>
        <v>=</v>
      </c>
      <c r="J7" s="2" t="str">
        <f>IF((COUNTIF(A4:A8,"Commercial Load (Bulk)")&gt;0),TRUNC(LOOKUP("Commercial Load (Bulk)",A4:A8,F4:F8))&amp;"(0.7)",IF(COUNTIF(A4:A8,"Industrial Load (Bulk)")&gt;0,TRUNC(LOOKUP("Industrial Load (Bulk)",A4:A8,F4:F8))&amp;"(0.7)",""))</f>
        <v/>
      </c>
      <c r="P7" s="24" t="str">
        <f>IF((COUNTIF(A4:A8,"Commercial Load (Bulk)")&gt;0),(LOOKUP("Commercial Load (Bulk)",A4:A8,F4:F8)*MID(J7,LEN(J7)-3,3))/J8,IF(COUNTIF(A4:A8,"Industrial Load (Bulk)")&gt;0,(LOOKUP("Industrial Load (Bulk)",A4:A8,F4:F8)*MID(J7,LEN(J7)-3,3))/J8,""))</f>
        <v/>
      </c>
      <c r="R7" s="2"/>
      <c r="S7" s="21" t="str">
        <f>IF(ISBLANK(R7),"",P7/R7)</f>
        <v/>
      </c>
      <c r="AA7" s="2" t="s">
        <v>8</v>
      </c>
      <c r="AC7" s="2">
        <f t="shared" ref="AC7:AC8" ca="1" si="0">SUMIF($A$4:$F$119,AA7,$F$4:$F$119)</f>
        <v>3869.75</v>
      </c>
    </row>
    <row r="8" spans="1:29" x14ac:dyDescent="0.3">
      <c r="J8" s="23" t="str">
        <f>IF((COUNTIF(A4:A8,"Commercial Load (Bulk)")&gt;0),"0.9",IF(COUNTIF(A4:A8,"Industrial Load (Bulk)")&gt;0,"0.9",""))</f>
        <v/>
      </c>
      <c r="R8" s="2"/>
      <c r="S8" s="21"/>
      <c r="AA8" s="2" t="s">
        <v>9</v>
      </c>
      <c r="AC8" s="2">
        <f t="shared" ca="1" si="0"/>
        <v>0</v>
      </c>
    </row>
    <row r="9" spans="1:29" x14ac:dyDescent="0.3">
      <c r="R9" s="2"/>
      <c r="S9" s="21"/>
    </row>
    <row r="10" spans="1:29" x14ac:dyDescent="0.3">
      <c r="A10" s="3" t="s">
        <v>28</v>
      </c>
      <c r="R10" s="2"/>
      <c r="S10" s="21"/>
    </row>
    <row r="11" spans="1:29" ht="15" thickBot="1" x14ac:dyDescent="0.35">
      <c r="R11" s="2" t="s">
        <v>76</v>
      </c>
      <c r="S11" s="25" t="s">
        <v>77</v>
      </c>
    </row>
    <row r="12" spans="1:29" ht="15" thickBot="1" x14ac:dyDescent="0.35">
      <c r="A12" s="5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5" t="s">
        <v>6</v>
      </c>
      <c r="H12" t="s">
        <v>72</v>
      </c>
      <c r="I12" s="2" t="s">
        <v>73</v>
      </c>
      <c r="J12" s="13" t="str">
        <f>TRUNC(SUMIF(A12:A16,"Residential Load",F12:F16),3)&amp;"(0.6)"</f>
        <v>862.5(0.6)</v>
      </c>
      <c r="K12" s="2" t="s">
        <v>74</v>
      </c>
      <c r="L12" s="13" t="str">
        <f>TRUNC(SUMIF(A12:A16,"Commercial Load",F12:F16),3)&amp;"(0.7)"</f>
        <v>258.75(0.7)</v>
      </c>
      <c r="M12" s="2" t="s">
        <v>74</v>
      </c>
      <c r="N12" s="13" t="str">
        <f>TRUNC(SUMIF(A12:A16,"Industrial Load",F12:F16),3)&amp;"(0.65)"</f>
        <v>0(0.65)</v>
      </c>
      <c r="O12" s="2" t="str">
        <f>"="</f>
        <v>=</v>
      </c>
      <c r="P12" s="20">
        <f>((SUMIF(A12:A16,"Residential Load",F12:F16)*MID(J12,LEN(J12)-3,3))/J13)+((SUMIF(A12:A16,"Commercial Load",F12:F16)*MID(L12,LEN(L12)-3,3))/L13)+((SUMIF(A12:A16,"Industrial Load",F12:F16)*MID(N12,LEN(N12)-3,3))/N13)</f>
        <v>382.8082191780822</v>
      </c>
      <c r="Q12" s="22" t="s">
        <v>75</v>
      </c>
      <c r="R12" s="2">
        <v>0.9</v>
      </c>
      <c r="S12" s="21">
        <f>P12/R12</f>
        <v>425.34246575342468</v>
      </c>
      <c r="U12" s="12" t="s">
        <v>89</v>
      </c>
      <c r="Y12">
        <f>MID(U12,9,SEARCH("T",U12,1)-14)*1</f>
        <v>450</v>
      </c>
    </row>
    <row r="13" spans="1:29" x14ac:dyDescent="0.3">
      <c r="A13" s="4" t="s">
        <v>7</v>
      </c>
      <c r="B13" s="2">
        <v>150</v>
      </c>
      <c r="C13" s="2">
        <v>25</v>
      </c>
      <c r="D13" s="2">
        <v>1</v>
      </c>
      <c r="E13" s="2">
        <v>230</v>
      </c>
      <c r="F13" s="14">
        <f>Table1523[[#This Row],[NO. OF ESTABLISHMENTS]]*Table1523[[#This Row],[ESTIMATED AVERAGE AMPACITY]]*Table1523[[#This Row],[VOLTAGE]]/1000</f>
        <v>862.5</v>
      </c>
      <c r="J13" s="2">
        <v>2</v>
      </c>
      <c r="L13" s="2">
        <v>1.46</v>
      </c>
      <c r="N13" s="2">
        <v>0.86</v>
      </c>
      <c r="R13" s="2"/>
      <c r="S13" s="21"/>
    </row>
    <row r="14" spans="1:29" x14ac:dyDescent="0.3">
      <c r="A14" s="4" t="s">
        <v>8</v>
      </c>
      <c r="B14" s="2">
        <v>15</v>
      </c>
      <c r="C14" s="2">
        <v>75</v>
      </c>
      <c r="D14" s="2">
        <v>1</v>
      </c>
      <c r="E14" s="2">
        <v>230</v>
      </c>
      <c r="F14" s="14">
        <f>Table1523[[#This Row],[NO. OF ESTABLISHMENTS]]*Table1523[[#This Row],[ESTIMATED AVERAGE AMPACITY]]*Table1523[[#This Row],[VOLTAGE]]/1000</f>
        <v>258.75</v>
      </c>
      <c r="R14" s="2"/>
      <c r="S14" s="21"/>
    </row>
    <row r="15" spans="1:29" x14ac:dyDescent="0.3">
      <c r="A15" s="4" t="s">
        <v>9</v>
      </c>
      <c r="B15" s="2">
        <v>0</v>
      </c>
      <c r="C15" s="2">
        <v>0</v>
      </c>
      <c r="D15" s="2">
        <v>0</v>
      </c>
      <c r="E15" s="2">
        <v>0</v>
      </c>
      <c r="F15" s="14">
        <v>0</v>
      </c>
      <c r="H15" t="s">
        <v>79</v>
      </c>
      <c r="I15" s="2" t="str">
        <f>"="</f>
        <v>=</v>
      </c>
      <c r="J15" s="2" t="str">
        <f>IF((COUNTIF(A12:A16,"Commercial Load (Bulk)")&gt;0),TRUNC(LOOKUP("Commercial Load (Bulk)",A12:A16,F12:F16))&amp;"(0.7)",IF(COUNTIF(A12:A16,"Industrial Load (Bulk)")&gt;0,TRUNC(LOOKUP("Industrial Load (Bulk)",A12:A16,F12:F16))&amp;"(0.7)",""))</f>
        <v/>
      </c>
      <c r="P15" s="24" t="str">
        <f>IF((COUNTIF(A12:A16,"Commercial Load (Bulk)")&gt;0),(LOOKUP("Commercial Load (Bulk)",A12:A16,F12:F16)*MID(J15,LEN(J15)-3,3))/J16,IF(COUNTIF(A12:A16,"Industrial Load (Bulk)")&gt;0,(LOOKUP("Industrial Load (Bulk)",A12:A16,F12:F16)*MID(J15,LEN(J15)-3,3))/J16,""))</f>
        <v/>
      </c>
      <c r="R15" s="2"/>
      <c r="S15" s="21" t="str">
        <f>IF(ISBLANK(R15),"",P15/R15)</f>
        <v/>
      </c>
    </row>
    <row r="16" spans="1:29" x14ac:dyDescent="0.3">
      <c r="J16" s="23" t="str">
        <f>IF((COUNTIF(A12:A16,"Commercial Load (Bulk)")&gt;0),"0.9",IF(COUNTIF(A12:A16,"Industrial Load (Bulk)")&gt;0,"0.9",""))</f>
        <v/>
      </c>
      <c r="R16" s="2"/>
      <c r="S16" s="21"/>
    </row>
    <row r="17" spans="1:25" x14ac:dyDescent="0.3">
      <c r="R17" s="2"/>
      <c r="S17" s="21"/>
    </row>
    <row r="18" spans="1:25" x14ac:dyDescent="0.3">
      <c r="A18" s="3" t="s">
        <v>29</v>
      </c>
      <c r="R18" s="2"/>
      <c r="S18" s="21"/>
    </row>
    <row r="19" spans="1:25" ht="15" thickBot="1" x14ac:dyDescent="0.35">
      <c r="R19" s="2" t="s">
        <v>76</v>
      </c>
      <c r="S19" s="25" t="s">
        <v>77</v>
      </c>
    </row>
    <row r="20" spans="1:25" ht="15" thickBot="1" x14ac:dyDescent="0.35">
      <c r="A20" s="5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5" t="s">
        <v>6</v>
      </c>
      <c r="H20" t="s">
        <v>72</v>
      </c>
      <c r="I20" s="2" t="s">
        <v>73</v>
      </c>
      <c r="J20" s="13" t="str">
        <f>TRUNC(SUMIF(A20:A24,"Residential Load",F20:F24),3)&amp;"(0.6)"</f>
        <v>172.5(0.6)</v>
      </c>
      <c r="K20" s="2" t="s">
        <v>74</v>
      </c>
      <c r="L20" s="13" t="str">
        <f>TRUNC(SUMIF(A20:A24,"Commercial Load",F20:F24),3)&amp;"(0.7)"</f>
        <v>74.75(0.7)</v>
      </c>
      <c r="M20" s="2" t="s">
        <v>74</v>
      </c>
      <c r="N20" s="13" t="str">
        <f>TRUNC(SUMIF(A20:A24,"Industrial Load",F20:F24),3)&amp;"(0.65)"</f>
        <v>0(0.65)</v>
      </c>
      <c r="O20" s="2" t="str">
        <f>"="</f>
        <v>=</v>
      </c>
      <c r="P20" s="20">
        <f>((SUMIF(A20:A24,"Residential Load",F20:F24)*MID(J20,LEN(J20)-3,3))/J21)+((SUMIF(A20:A24,"Commercial Load",F20:F24)*MID(L20,LEN(L20)-3,3))/L21)+((SUMIF(A20:A24,"Industrial Load",F20:F24)*MID(N20,LEN(N20)-3,3))/N21)</f>
        <v>87.589041095890408</v>
      </c>
      <c r="Q20" s="22" t="s">
        <v>75</v>
      </c>
      <c r="R20" s="2">
        <v>0.9</v>
      </c>
      <c r="S20" s="21">
        <f>P20/R20</f>
        <v>97.321156773211555</v>
      </c>
      <c r="U20" s="12" t="s">
        <v>92</v>
      </c>
      <c r="Y20">
        <f>MID(U20,9,SEARCH("T",U20,1)-14)*1</f>
        <v>112.5</v>
      </c>
    </row>
    <row r="21" spans="1:25" x14ac:dyDescent="0.3">
      <c r="A21" s="4" t="s">
        <v>7</v>
      </c>
      <c r="B21" s="2">
        <v>50</v>
      </c>
      <c r="C21" s="2">
        <v>15</v>
      </c>
      <c r="D21" s="2">
        <v>1</v>
      </c>
      <c r="E21" s="2">
        <v>230</v>
      </c>
      <c r="F21" s="14">
        <f>Table1624[[#This Row],[NO. OF ESTABLISHMENTS]]*Table1624[[#This Row],[ESTIMATED AVERAGE AMPACITY]]*Table1624[[#This Row],[VOLTAGE]]/1000</f>
        <v>172.5</v>
      </c>
      <c r="J21" s="2">
        <v>2</v>
      </c>
      <c r="L21" s="2">
        <v>1.46</v>
      </c>
      <c r="N21" s="2">
        <v>0.86</v>
      </c>
      <c r="R21" s="2"/>
      <c r="S21" s="21"/>
    </row>
    <row r="22" spans="1:25" x14ac:dyDescent="0.3">
      <c r="A22" s="4" t="s">
        <v>8</v>
      </c>
      <c r="B22" s="2">
        <v>5</v>
      </c>
      <c r="C22" s="2">
        <v>65</v>
      </c>
      <c r="D22" s="2">
        <v>1</v>
      </c>
      <c r="E22" s="2">
        <v>230</v>
      </c>
      <c r="F22" s="14">
        <f>Table1624[[#This Row],[NO. OF ESTABLISHMENTS]]*Table1624[[#This Row],[ESTIMATED AVERAGE AMPACITY]]*Table1624[[#This Row],[VOLTAGE]]/1000</f>
        <v>74.75</v>
      </c>
      <c r="R22" s="2"/>
      <c r="S22" s="21"/>
    </row>
    <row r="23" spans="1:25" x14ac:dyDescent="0.3">
      <c r="A23" s="4" t="s">
        <v>80</v>
      </c>
      <c r="B23" s="2">
        <v>1</v>
      </c>
      <c r="C23" s="2">
        <v>1500</v>
      </c>
      <c r="D23" s="2">
        <v>3</v>
      </c>
      <c r="E23" s="2">
        <v>1000</v>
      </c>
      <c r="F23" s="14">
        <f>Table1624[[#This Row],[NO. OF ESTABLISHMENTS]]*Table1624[[#This Row],[ESTIMATED AVERAGE AMPACITY]]*Table1624[[#This Row],[VOLTAGE]]*SQRT(3)/1000</f>
        <v>2598.076211353316</v>
      </c>
      <c r="H23" t="s">
        <v>79</v>
      </c>
      <c r="I23" s="2" t="str">
        <f>"="</f>
        <v>=</v>
      </c>
      <c r="J23" s="2" t="str">
        <f>IF((COUNTIF(A20:A24,"Commercial Load (Bulk)")&gt;0),TRUNC(LOOKUP("Commercial Load (Bulk)",A20:A24,F20:F24))&amp;"(0.7)",IF(COUNTIF(A20:A24,"Industrial Load (Bulk)")&gt;0,TRUNC(LOOKUP("Industrial Load (Bulk)",A20:A24,F20:F24))&amp;"(0.7)",""))</f>
        <v>2598(0.7)</v>
      </c>
      <c r="P23" s="24">
        <f>IF((COUNTIF(A20:A24,"Commercial Load (Bulk)")&gt;0),(LOOKUP("Commercial Load (Bulk)",A20:A24,F20:F24)*MID(J23,LEN(J23)-3,3))/J24,IF(COUNTIF(A20:A24,"Industrial Load (Bulk)")&gt;0,(LOOKUP("Industrial Load (Bulk)",A20:A24,F20:F24)*MID(J23,LEN(J23)-3,3))/J24,""))</f>
        <v>2020.72594216369</v>
      </c>
      <c r="Q23" s="12" t="s">
        <v>77</v>
      </c>
      <c r="R23" s="2"/>
      <c r="S23" s="21" t="str">
        <f>IF(ISBLANK(R23),"",P23/R23)</f>
        <v/>
      </c>
      <c r="U23" s="12" t="s">
        <v>93</v>
      </c>
      <c r="Y23">
        <f>MID(U23,9,SEARCH("T",U23,1)-14)*1</f>
        <v>2500</v>
      </c>
    </row>
    <row r="24" spans="1:25" x14ac:dyDescent="0.3">
      <c r="J24" s="23" t="str">
        <f>IF((COUNTIF(A20:A24,"Commercial Load (Bulk)")&gt;0),"0.9",IF(COUNTIF(A20:A24,"Industrial Load (Bulk)")&gt;0,"0.9",""))</f>
        <v>0.9</v>
      </c>
      <c r="R24" s="2"/>
      <c r="S24" s="21"/>
    </row>
    <row r="25" spans="1:25" x14ac:dyDescent="0.3">
      <c r="R25" s="2"/>
      <c r="S25" s="21"/>
    </row>
    <row r="26" spans="1:25" x14ac:dyDescent="0.3">
      <c r="A26" s="3" t="s">
        <v>30</v>
      </c>
      <c r="R26" s="2"/>
      <c r="S26" s="21"/>
    </row>
    <row r="27" spans="1:25" ht="15" thickBot="1" x14ac:dyDescent="0.35">
      <c r="R27" s="2" t="s">
        <v>76</v>
      </c>
      <c r="S27" s="25" t="s">
        <v>77</v>
      </c>
    </row>
    <row r="28" spans="1:25" ht="15" thickBot="1" x14ac:dyDescent="0.35">
      <c r="A28" s="5" t="s">
        <v>1</v>
      </c>
      <c r="B28" s="1" t="s">
        <v>2</v>
      </c>
      <c r="C28" s="1" t="s">
        <v>3</v>
      </c>
      <c r="D28" s="1" t="s">
        <v>4</v>
      </c>
      <c r="E28" s="1" t="s">
        <v>5</v>
      </c>
      <c r="F28" s="15" t="s">
        <v>6</v>
      </c>
      <c r="H28" t="s">
        <v>72</v>
      </c>
      <c r="I28" s="2" t="s">
        <v>73</v>
      </c>
      <c r="J28" s="13" t="str">
        <f>TRUNC(SUMIF(A28:A32,"Residential Load",F28:F32),3)&amp;"(0.6)"</f>
        <v>230(0.6)</v>
      </c>
      <c r="K28" s="2" t="s">
        <v>74</v>
      </c>
      <c r="L28" s="13" t="str">
        <f>TRUNC(SUMIF(A28:A32,"Commercial Load",F28:F32),3)&amp;"(0.7)"</f>
        <v>74.75(0.7)</v>
      </c>
      <c r="M28" s="2" t="s">
        <v>74</v>
      </c>
      <c r="N28" s="13" t="str">
        <f>TRUNC(SUMIF(A28:A32,"Industrial Load",F28:F32),3)&amp;"(0.65)"</f>
        <v>0(0.65)</v>
      </c>
      <c r="O28" s="2" t="str">
        <f>"="</f>
        <v>=</v>
      </c>
      <c r="P28" s="20">
        <f>((SUMIF(A28:A32,"Residential Load",F28:F32)*MID(J28,LEN(J28)-3,3))/J29)+((SUMIF(A28:A32,"Commercial Load",F28:F32)*MID(L28,LEN(L28)-3,3))/L29)+((SUMIF(A28:A32,"Industrial Load",F28:F32)*MID(N28,LEN(N28)-3,3))/N29)</f>
        <v>104.83904109589041</v>
      </c>
      <c r="Q28" s="22" t="s">
        <v>75</v>
      </c>
      <c r="R28" s="2">
        <v>0.9</v>
      </c>
      <c r="S28" s="21">
        <f>P28/R28</f>
        <v>116.48782343987823</v>
      </c>
      <c r="U28" s="12" t="s">
        <v>94</v>
      </c>
      <c r="Y28">
        <f>MID(U28,9,SEARCH("T",U28,1)-14)*1</f>
        <v>150</v>
      </c>
    </row>
    <row r="29" spans="1:25" x14ac:dyDescent="0.3">
      <c r="A29" s="4" t="s">
        <v>7</v>
      </c>
      <c r="B29" s="2">
        <v>50</v>
      </c>
      <c r="C29" s="2">
        <v>20</v>
      </c>
      <c r="D29" s="2">
        <v>1</v>
      </c>
      <c r="E29" s="2">
        <v>230</v>
      </c>
      <c r="F29" s="14">
        <f>Table1725[[#This Row],[NO. OF ESTABLISHMENTS]]*Table1725[[#This Row],[ESTIMATED AVERAGE AMPACITY]]*Table1725[[#This Row],[VOLTAGE]]/1000</f>
        <v>230</v>
      </c>
      <c r="J29" s="2">
        <v>2</v>
      </c>
      <c r="L29" s="2">
        <v>1.46</v>
      </c>
      <c r="N29" s="2">
        <v>0.86</v>
      </c>
      <c r="R29" s="2"/>
      <c r="S29" s="21"/>
    </row>
    <row r="30" spans="1:25" x14ac:dyDescent="0.3">
      <c r="A30" s="4" t="s">
        <v>8</v>
      </c>
      <c r="B30" s="2">
        <v>5</v>
      </c>
      <c r="C30" s="2">
        <v>65</v>
      </c>
      <c r="D30" s="2">
        <v>1</v>
      </c>
      <c r="E30" s="2">
        <v>230</v>
      </c>
      <c r="F30" s="14">
        <f>Table1725[[#This Row],[NO. OF ESTABLISHMENTS]]*Table1725[[#This Row],[ESTIMATED AVERAGE AMPACITY]]*Table1725[[#This Row],[VOLTAGE]]/1000</f>
        <v>74.75</v>
      </c>
      <c r="R30" s="2"/>
      <c r="S30" s="21"/>
    </row>
    <row r="31" spans="1:25" x14ac:dyDescent="0.3">
      <c r="A31" s="4" t="s">
        <v>9</v>
      </c>
      <c r="B31" s="2">
        <v>0</v>
      </c>
      <c r="C31" s="2">
        <v>0</v>
      </c>
      <c r="D31" s="2">
        <v>0</v>
      </c>
      <c r="E31" s="2">
        <v>0</v>
      </c>
      <c r="F31" s="14">
        <v>0</v>
      </c>
      <c r="H31" t="s">
        <v>79</v>
      </c>
      <c r="I31" s="2" t="str">
        <f>"="</f>
        <v>=</v>
      </c>
      <c r="J31" s="2" t="str">
        <f>IF((COUNTIF(A28:A32,"Commercial Load (Bulk)")&gt;0),TRUNC(LOOKUP("Commercial Load (Bulk)",A28:A32,F28:F32))&amp;"(0.7)",IF(COUNTIF(A28:A32,"Industrial Load (Bulk)")&gt;0,TRUNC(LOOKUP("Industrial Load (Bulk)",A28:A32,F28:F32))&amp;"(0.7)",""))</f>
        <v/>
      </c>
      <c r="P31" s="24" t="str">
        <f>IF((COUNTIF(A28:A32,"Commercial Load (Bulk)")&gt;0),(LOOKUP("Commercial Load (Bulk)",A28:A32,F28:F32)*MID(J31,LEN(J31)-3,3))/J32,IF(COUNTIF(A28:A32,"Industrial Load (Bulk)")&gt;0,(LOOKUP("Industrial Load (Bulk)",A28:A32,F28:F32)*MID(J31,LEN(J31)-3,3))/J32,""))</f>
        <v/>
      </c>
      <c r="R31" s="2"/>
      <c r="S31" s="21" t="str">
        <f>IF(ISBLANK(R31),"",P31/R31)</f>
        <v/>
      </c>
    </row>
    <row r="32" spans="1:25" x14ac:dyDescent="0.3">
      <c r="J32" s="23" t="str">
        <f>IF((COUNTIF(A28:A32,"Commercial Load (Bulk)")&gt;0),"0.9",IF(COUNTIF(A28:A32,"Industrial Load (Bulk)")&gt;0,"0.9",""))</f>
        <v/>
      </c>
      <c r="R32" s="2"/>
      <c r="S32" s="21"/>
    </row>
    <row r="33" spans="1:25" x14ac:dyDescent="0.3">
      <c r="R33" s="2"/>
      <c r="S33" s="21"/>
    </row>
    <row r="34" spans="1:25" x14ac:dyDescent="0.3">
      <c r="A34" s="3" t="s">
        <v>31</v>
      </c>
      <c r="R34" s="2"/>
      <c r="S34" s="21"/>
    </row>
    <row r="35" spans="1:25" ht="15" thickBot="1" x14ac:dyDescent="0.35">
      <c r="R35" s="2" t="s">
        <v>76</v>
      </c>
      <c r="S35" s="25" t="s">
        <v>77</v>
      </c>
    </row>
    <row r="36" spans="1:25" ht="15" thickBot="1" x14ac:dyDescent="0.35">
      <c r="A36" s="5" t="s">
        <v>1</v>
      </c>
      <c r="B36" s="1" t="s">
        <v>2</v>
      </c>
      <c r="C36" s="1" t="s">
        <v>3</v>
      </c>
      <c r="D36" s="1" t="s">
        <v>4</v>
      </c>
      <c r="E36" s="1" t="s">
        <v>5</v>
      </c>
      <c r="F36" s="15" t="s">
        <v>6</v>
      </c>
      <c r="H36" t="s">
        <v>72</v>
      </c>
      <c r="I36" s="2" t="s">
        <v>73</v>
      </c>
      <c r="J36" s="13" t="str">
        <f>TRUNC(SUMIF(A36:A40,"Residential Load",F36:F40),3)&amp;"(0.6)"</f>
        <v>172.5(0.6)</v>
      </c>
      <c r="K36" s="2" t="s">
        <v>74</v>
      </c>
      <c r="L36" s="13" t="str">
        <f>TRUNC(SUMIF(A36:A40,"Commercial Load",F36:F40),3)&amp;"(0.7)"</f>
        <v>74.75(0.7)</v>
      </c>
      <c r="M36" s="2" t="s">
        <v>74</v>
      </c>
      <c r="N36" s="13" t="str">
        <f>TRUNC(SUMIF(A36:A40,"Industrial Load",F36:F40),3)&amp;"(0.65)"</f>
        <v>0(0.65)</v>
      </c>
      <c r="O36" s="2" t="str">
        <f>"="</f>
        <v>=</v>
      </c>
      <c r="P36" s="20">
        <f>((SUMIF(A36:A40,"Residential Load",F36:F40)*MID(J36,LEN(J36)-3,3))/J37)+((SUMIF(A36:A40,"Commercial Load",F36:F40)*MID(L36,LEN(L36)-3,3))/L37)+((SUMIF(A36:A40,"Industrial Load",F36:F40)*MID(N36,LEN(N36)-3,3))/N37)</f>
        <v>87.589041095890408</v>
      </c>
      <c r="Q36" s="22" t="s">
        <v>75</v>
      </c>
      <c r="R36" s="2">
        <v>0.9</v>
      </c>
      <c r="S36" s="21">
        <f>P36/R36</f>
        <v>97.321156773211555</v>
      </c>
      <c r="U36" s="12" t="s">
        <v>92</v>
      </c>
      <c r="Y36">
        <f>MID(U36,9,SEARCH("T",U36,1)-14)*1</f>
        <v>112.5</v>
      </c>
    </row>
    <row r="37" spans="1:25" x14ac:dyDescent="0.3">
      <c r="A37" s="4" t="s">
        <v>7</v>
      </c>
      <c r="B37" s="2">
        <v>50</v>
      </c>
      <c r="C37" s="2">
        <v>15</v>
      </c>
      <c r="D37" s="2">
        <v>1</v>
      </c>
      <c r="E37" s="2">
        <v>230</v>
      </c>
      <c r="F37" s="14">
        <f>Table15826[[#This Row],[NO. OF ESTABLISHMENTS]]*Table15826[[#This Row],[ESTIMATED AVERAGE AMPACITY]]*Table15826[[#This Row],[VOLTAGE]]/1000</f>
        <v>172.5</v>
      </c>
      <c r="J37" s="2">
        <v>2</v>
      </c>
      <c r="L37" s="2">
        <v>1.46</v>
      </c>
      <c r="N37" s="2">
        <v>0.86</v>
      </c>
    </row>
    <row r="38" spans="1:25" x14ac:dyDescent="0.3">
      <c r="A38" s="4" t="s">
        <v>8</v>
      </c>
      <c r="B38" s="2">
        <v>5</v>
      </c>
      <c r="C38" s="2">
        <v>65</v>
      </c>
      <c r="D38" s="2">
        <v>1</v>
      </c>
      <c r="E38" s="2">
        <v>230</v>
      </c>
      <c r="F38" s="14">
        <f>Table15826[[#This Row],[NO. OF ESTABLISHMENTS]]*Table15826[[#This Row],[ESTIMATED AVERAGE AMPACITY]]*Table15826[[#This Row],[VOLTAGE]]/1000</f>
        <v>74.75</v>
      </c>
      <c r="R38" s="2"/>
      <c r="S38" s="21"/>
    </row>
    <row r="39" spans="1:25" x14ac:dyDescent="0.3">
      <c r="A39" s="4" t="s">
        <v>9</v>
      </c>
      <c r="B39" s="2">
        <v>0</v>
      </c>
      <c r="C39" s="2">
        <v>0</v>
      </c>
      <c r="D39" s="2">
        <v>0</v>
      </c>
      <c r="E39" s="2">
        <v>0</v>
      </c>
      <c r="F39" s="14">
        <v>0</v>
      </c>
      <c r="H39" t="s">
        <v>79</v>
      </c>
      <c r="I39" s="2" t="str">
        <f>"="</f>
        <v>=</v>
      </c>
      <c r="J39" s="2" t="str">
        <f>IF((COUNTIF(A36:A40,"Commercial Load (Bulk)")&gt;0),TRUNC(LOOKUP("Commercial Load (Bulk)",A36:A40,F36:F40))&amp;"(0.7)",IF(COUNTIF(A36:A40,"Industrial Load (Bulk)")&gt;0,TRUNC(LOOKUP("Industrial Load (Bulk)",A36:A40,F36:F40))&amp;"(0.7)",""))</f>
        <v/>
      </c>
      <c r="P39" s="24" t="str">
        <f>IF((COUNTIF(A36:A40,"Commercial Load (Bulk)")&gt;0),(LOOKUP("Commercial Load (Bulk)",A36:A40,F36:F40)*MID(J39,LEN(J39)-3,3))/J40,IF(COUNTIF(A36:A40,"Industrial Load (Bulk)")&gt;0,(LOOKUP("Industrial Load (Bulk)",A36:A40,F36:F40)*MID(J39,LEN(J39)-3,3))/J40,""))</f>
        <v/>
      </c>
      <c r="R39" s="2"/>
      <c r="S39" s="21" t="str">
        <f>IF(ISBLANK(R39),"",P39/R39)</f>
        <v/>
      </c>
    </row>
    <row r="40" spans="1:25" x14ac:dyDescent="0.3">
      <c r="J40" s="23" t="str">
        <f>IF((COUNTIF(A36:A40,"Commercial Load (Bulk)")&gt;0),"0.9",IF(COUNTIF(A36:A40,"Industrial Load (Bulk)")&gt;0,"0.9",""))</f>
        <v/>
      </c>
      <c r="R40" s="2"/>
      <c r="S40" s="21"/>
    </row>
    <row r="41" spans="1:25" x14ac:dyDescent="0.3">
      <c r="R41" s="2"/>
      <c r="S41" s="21"/>
    </row>
    <row r="42" spans="1:25" x14ac:dyDescent="0.3">
      <c r="A42" s="3" t="s">
        <v>32</v>
      </c>
      <c r="R42" s="2"/>
      <c r="S42" s="21"/>
    </row>
    <row r="43" spans="1:25" ht="15" thickBot="1" x14ac:dyDescent="0.35">
      <c r="R43" s="2" t="s">
        <v>76</v>
      </c>
      <c r="S43" s="25" t="s">
        <v>77</v>
      </c>
    </row>
    <row r="44" spans="1:25" ht="15" thickBot="1" x14ac:dyDescent="0.35">
      <c r="A44" s="5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15" t="s">
        <v>6</v>
      </c>
      <c r="H44" t="s">
        <v>72</v>
      </c>
      <c r="I44" s="2" t="s">
        <v>73</v>
      </c>
      <c r="J44" s="13" t="str">
        <f>TRUNC(SUMIF(A44:A48,"Residential Load",F44:F48),3)&amp;"(0.6)"</f>
        <v>920(0.6)</v>
      </c>
      <c r="K44" s="2" t="s">
        <v>74</v>
      </c>
      <c r="L44" s="13" t="str">
        <f>TRUNC(SUMIF(A44:A48,"Commercial Load",F44:F48),3)&amp;"(0.7)"</f>
        <v>546.25(0.7)</v>
      </c>
      <c r="M44" s="2" t="s">
        <v>74</v>
      </c>
      <c r="N44" s="13" t="str">
        <f>TRUNC(SUMIF(A44:A48,"Industrial Load",F44:F48),3)&amp;"(0.65)"</f>
        <v>0(0.65)</v>
      </c>
      <c r="O44" s="2" t="str">
        <f>"="</f>
        <v>=</v>
      </c>
      <c r="P44" s="20">
        <f>((SUMIF(A44:A48,"Residential Load",F44:F48)*MID(J44,LEN(J44)-3,3))/J45)+((SUMIF(A44:A48,"Commercial Load",F44:F48)*MID(L44,LEN(L44)-3,3))/L45)+((SUMIF(A44:A48,"Industrial Load",F44:F48)*MID(N44,LEN(N44)-3,3))/N45)</f>
        <v>537.90068493150693</v>
      </c>
      <c r="Q44" s="22" t="s">
        <v>75</v>
      </c>
      <c r="R44" s="2">
        <v>0.9</v>
      </c>
      <c r="S44" s="21">
        <f>P44/R44</f>
        <v>597.66742770167434</v>
      </c>
      <c r="U44" s="12" t="s">
        <v>95</v>
      </c>
      <c r="Y44">
        <f>MID(U44,9,SEARCH("T",U44,1)-14)*1</f>
        <v>600</v>
      </c>
    </row>
    <row r="45" spans="1:25" x14ac:dyDescent="0.3">
      <c r="A45" s="4" t="s">
        <v>7</v>
      </c>
      <c r="B45" s="2">
        <v>100</v>
      </c>
      <c r="C45" s="2">
        <v>40</v>
      </c>
      <c r="D45" s="2">
        <v>1</v>
      </c>
      <c r="E45" s="2">
        <v>230</v>
      </c>
      <c r="F45" s="14">
        <f>Table16927[[#This Row],[NO. OF ESTABLISHMENTS]]*Table16927[[#This Row],[ESTIMATED AVERAGE AMPACITY]]*Table16927[[#This Row],[VOLTAGE]]/1000</f>
        <v>920</v>
      </c>
      <c r="J45" s="2">
        <v>2</v>
      </c>
      <c r="L45" s="2">
        <v>1.46</v>
      </c>
      <c r="N45" s="2">
        <v>0.86</v>
      </c>
      <c r="R45" s="2"/>
      <c r="S45" s="21"/>
    </row>
    <row r="46" spans="1:25" x14ac:dyDescent="0.3">
      <c r="A46" s="4" t="s">
        <v>8</v>
      </c>
      <c r="B46" s="2">
        <v>25</v>
      </c>
      <c r="C46" s="2">
        <v>95</v>
      </c>
      <c r="D46" s="2">
        <v>1</v>
      </c>
      <c r="E46" s="2">
        <v>230</v>
      </c>
      <c r="F46" s="14">
        <f>Table16927[[#This Row],[NO. OF ESTABLISHMENTS]]*Table16927[[#This Row],[ESTIMATED AVERAGE AMPACITY]]*Table16927[[#This Row],[VOLTAGE]]/1000</f>
        <v>546.25</v>
      </c>
      <c r="R46" s="2"/>
      <c r="S46" s="21"/>
    </row>
    <row r="47" spans="1:25" x14ac:dyDescent="0.3">
      <c r="A47" s="4" t="s">
        <v>9</v>
      </c>
      <c r="B47" s="2">
        <v>0</v>
      </c>
      <c r="C47" s="2">
        <v>0</v>
      </c>
      <c r="D47" s="2">
        <v>0</v>
      </c>
      <c r="E47" s="2">
        <v>0</v>
      </c>
      <c r="F47" s="14">
        <v>0</v>
      </c>
      <c r="H47" t="s">
        <v>79</v>
      </c>
      <c r="I47" s="2" t="str">
        <f>"="</f>
        <v>=</v>
      </c>
      <c r="J47" s="2" t="str">
        <f>IF((COUNTIF(A44:A48,"Commercial Load (Bulk)")&gt;0),TRUNC(LOOKUP("Commercial Load (Bulk)",A44:A48,F44:F48))&amp;"(0.7)",IF(COUNTIF(A44:A48,"Industrial Load (Bulk)")&gt;0,TRUNC(LOOKUP("Industrial Load (Bulk)",A44:A48,F44:F48))&amp;"(0.7)",""))</f>
        <v/>
      </c>
      <c r="P47" s="24" t="str">
        <f>IF((COUNTIF(A44:A48,"Commercial Load (Bulk)")&gt;0),(LOOKUP("Commercial Load (Bulk)",A44:A48,F44:F48)*MID(J47,LEN(J47)-3,3))/J48,IF(COUNTIF(A44:A48,"Industrial Load (Bulk)")&gt;0,(LOOKUP("Industrial Load (Bulk)",A44:A48,F44:F48)*MID(J47,LEN(J47)-3,3))/J48,""))</f>
        <v/>
      </c>
      <c r="R47" s="2"/>
      <c r="S47" s="21" t="str">
        <f>IF(ISBLANK(R47),"",P47/R47)</f>
        <v/>
      </c>
    </row>
    <row r="48" spans="1:25" x14ac:dyDescent="0.3">
      <c r="J48" s="23" t="str">
        <f>IF((COUNTIF(A44:A48,"Commercial Load (Bulk)")&gt;0),"0.9",IF(COUNTIF(A44:A48,"Industrial Load (Bulk)")&gt;0,"0.9",""))</f>
        <v/>
      </c>
      <c r="R48" s="2"/>
      <c r="S48" s="21"/>
    </row>
    <row r="49" spans="1:25" x14ac:dyDescent="0.3">
      <c r="R49" s="2"/>
      <c r="S49" s="21"/>
    </row>
    <row r="50" spans="1:25" x14ac:dyDescent="0.3">
      <c r="A50" s="3" t="s">
        <v>33</v>
      </c>
      <c r="R50" s="2"/>
      <c r="S50" s="21"/>
    </row>
    <row r="51" spans="1:25" ht="15" thickBot="1" x14ac:dyDescent="0.35">
      <c r="R51" s="2" t="s">
        <v>76</v>
      </c>
      <c r="S51" s="25" t="s">
        <v>77</v>
      </c>
    </row>
    <row r="52" spans="1:25" ht="15" thickBot="1" x14ac:dyDescent="0.35">
      <c r="A52" s="5" t="s">
        <v>1</v>
      </c>
      <c r="B52" s="1" t="s">
        <v>2</v>
      </c>
      <c r="C52" s="1" t="s">
        <v>3</v>
      </c>
      <c r="D52" s="1" t="s">
        <v>4</v>
      </c>
      <c r="E52" s="1" t="s">
        <v>5</v>
      </c>
      <c r="F52" s="15" t="s">
        <v>6</v>
      </c>
      <c r="H52" t="s">
        <v>72</v>
      </c>
      <c r="I52" s="2" t="s">
        <v>73</v>
      </c>
      <c r="J52" s="13" t="str">
        <f>TRUNC(SUMIF(A52:A56,"Residential Load",F52:F56),3)&amp;"(0.6)"</f>
        <v>920(0.6)</v>
      </c>
      <c r="K52" s="2" t="s">
        <v>74</v>
      </c>
      <c r="L52" s="13" t="str">
        <f>TRUNC(SUMIF(A52:A56,"Commercial Load",F52:F56),3)&amp;"(0.7)"</f>
        <v>276(0.7)</v>
      </c>
      <c r="M52" s="2" t="s">
        <v>74</v>
      </c>
      <c r="N52" s="13" t="str">
        <f>TRUNC(SUMIF(A52:A56,"Industrial Load",F52:F56),3)&amp;"(0.65)"</f>
        <v>0(0.65)</v>
      </c>
      <c r="O52" s="2" t="str">
        <f>"="</f>
        <v>=</v>
      </c>
      <c r="P52" s="20">
        <f>((SUMIF(A52:A56,"Residential Load",F52:F56)*MID(J52,LEN(J52)-3,3))/J53)+((SUMIF(A52:A56,"Commercial Load",F52:F56)*MID(L52,LEN(L52)-3,3))/L53)+((SUMIF(A52:A56,"Industrial Load",F52:F56)*MID(N52,LEN(N52)-3,3))/N53)</f>
        <v>408.32876712328766</v>
      </c>
      <c r="Q52" s="22" t="s">
        <v>75</v>
      </c>
      <c r="R52" s="2">
        <v>0.9</v>
      </c>
      <c r="S52" s="21">
        <f>P52/R52</f>
        <v>453.69863013698625</v>
      </c>
      <c r="U52" s="12" t="s">
        <v>96</v>
      </c>
      <c r="Y52">
        <f>MID(U52,9,SEARCH("T",U52,1)-14)*1</f>
        <v>500</v>
      </c>
    </row>
    <row r="53" spans="1:25" x14ac:dyDescent="0.3">
      <c r="A53" s="4" t="s">
        <v>7</v>
      </c>
      <c r="B53" s="2">
        <v>160</v>
      </c>
      <c r="C53" s="2">
        <v>25</v>
      </c>
      <c r="D53" s="2">
        <v>1</v>
      </c>
      <c r="E53" s="2">
        <v>230</v>
      </c>
      <c r="F53" s="14">
        <f>Table11028[[#This Row],[NO. OF ESTABLISHMENTS]]*Table11028[[#This Row],[ESTIMATED AVERAGE AMPACITY]]*Table11028[[#This Row],[VOLTAGE]]/1000</f>
        <v>920</v>
      </c>
      <c r="J53" s="2">
        <v>2</v>
      </c>
      <c r="L53" s="2">
        <v>1.46</v>
      </c>
      <c r="N53" s="2">
        <v>0.86</v>
      </c>
      <c r="R53" s="2"/>
      <c r="S53" s="21"/>
    </row>
    <row r="54" spans="1:25" x14ac:dyDescent="0.3">
      <c r="A54" s="4" t="s">
        <v>8</v>
      </c>
      <c r="B54" s="2">
        <v>15</v>
      </c>
      <c r="C54" s="2">
        <v>80</v>
      </c>
      <c r="D54" s="2">
        <v>1</v>
      </c>
      <c r="E54" s="2">
        <v>230</v>
      </c>
      <c r="F54" s="14">
        <f>Table11028[[#This Row],[NO. OF ESTABLISHMENTS]]*Table11028[[#This Row],[ESTIMATED AVERAGE AMPACITY]]*Table11028[[#This Row],[VOLTAGE]]/1000</f>
        <v>276</v>
      </c>
      <c r="R54" s="2"/>
      <c r="S54" s="21"/>
    </row>
    <row r="55" spans="1:25" x14ac:dyDescent="0.3">
      <c r="A55" s="4" t="s">
        <v>9</v>
      </c>
      <c r="B55" s="2">
        <v>0</v>
      </c>
      <c r="C55" s="2">
        <v>0</v>
      </c>
      <c r="D55" s="2">
        <v>0</v>
      </c>
      <c r="E55" s="2">
        <v>0</v>
      </c>
      <c r="F55" s="14">
        <v>0</v>
      </c>
      <c r="H55" t="s">
        <v>79</v>
      </c>
      <c r="I55" s="2" t="str">
        <f>"="</f>
        <v>=</v>
      </c>
      <c r="J55" s="2" t="str">
        <f>IF((COUNTIF(A52:A56,"Commercial Load (Bulk)")&gt;0),TRUNC(LOOKUP("Commercial Load (Bulk)",A52:A56,F52:F56))&amp;"(0.7)",IF(COUNTIF(A52:A56,"Industrial Load (Bulk)")&gt;0,TRUNC(LOOKUP("Industrial Load (Bulk)",A52:A56,F52:F56))&amp;"(0.7)",""))</f>
        <v/>
      </c>
      <c r="P55" s="24" t="str">
        <f>IF((COUNTIF(A52:A56,"Commercial Load (Bulk)")&gt;0),(LOOKUP("Commercial Load (Bulk)",A52:A56,F52:F56)*MID(J55,LEN(J55)-3,3))/J56,IF(COUNTIF(A52:A56,"Industrial Load (Bulk)")&gt;0,(LOOKUP("Industrial Load (Bulk)",A52:A56,F52:F56)*MID(J55,LEN(J55)-3,3))/J56,""))</f>
        <v/>
      </c>
      <c r="R55" s="2"/>
      <c r="S55" s="21" t="str">
        <f>IF(ISBLANK(R55),"",P55/R55)</f>
        <v/>
      </c>
    </row>
    <row r="56" spans="1:25" x14ac:dyDescent="0.3">
      <c r="J56" s="23" t="str">
        <f>IF((COUNTIF(A52:A56,"Commercial Load (Bulk)")&gt;0),"0.9",IF(COUNTIF(A52:A56,"Industrial Load (Bulk)")&gt;0,"0.9",""))</f>
        <v/>
      </c>
      <c r="R56" s="2"/>
      <c r="S56" s="21"/>
    </row>
    <row r="57" spans="1:25" x14ac:dyDescent="0.3">
      <c r="R57" s="2"/>
      <c r="S57" s="21"/>
    </row>
    <row r="58" spans="1:25" x14ac:dyDescent="0.3">
      <c r="A58" s="3" t="s">
        <v>34</v>
      </c>
      <c r="R58" s="2"/>
      <c r="S58" s="21"/>
    </row>
    <row r="59" spans="1:25" ht="15" thickBot="1" x14ac:dyDescent="0.35">
      <c r="R59" s="2" t="s">
        <v>76</v>
      </c>
      <c r="S59" s="25" t="s">
        <v>77</v>
      </c>
    </row>
    <row r="60" spans="1:25" ht="15" thickBot="1" x14ac:dyDescent="0.35">
      <c r="A60" s="5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5" t="s">
        <v>6</v>
      </c>
      <c r="H60" t="s">
        <v>72</v>
      </c>
      <c r="I60" s="2" t="s">
        <v>73</v>
      </c>
      <c r="J60" s="13" t="str">
        <f>TRUNC(SUMIF(A60:A64,"Residential Load",F60:F64),3)&amp;"(0.6)"</f>
        <v>598(0.6)</v>
      </c>
      <c r="K60" s="2" t="s">
        <v>74</v>
      </c>
      <c r="L60" s="13" t="str">
        <f>TRUNC(SUMIF(A60:A64,"Commercial Load",F60:F64),3)&amp;"(0.7)"</f>
        <v>149.5(0.7)</v>
      </c>
      <c r="M60" s="2" t="s">
        <v>74</v>
      </c>
      <c r="N60" s="13" t="str">
        <f>TRUNC(SUMIF(A60:A64,"Industrial Load",F60:F64),3)&amp;"(0.65)"</f>
        <v>0(0.65)</v>
      </c>
      <c r="O60" s="2" t="str">
        <f>"="</f>
        <v>=</v>
      </c>
      <c r="P60" s="20">
        <f>((SUMIF(A60:A64,"Residential Load",F60:F64)*MID(J60,LEN(J60)-3,3))/J61)+((SUMIF(A60:A64,"Commercial Load",F60:F64)*MID(L60,LEN(L60)-3,3))/L61)+((SUMIF(A60:A64,"Industrial Load",F60:F64)*MID(N60,LEN(N60)-3,3))/N61)</f>
        <v>251.07808219178082</v>
      </c>
      <c r="Q60" s="22" t="s">
        <v>75</v>
      </c>
      <c r="R60" s="2">
        <v>0.9</v>
      </c>
      <c r="S60" s="21">
        <f>P60/R60</f>
        <v>278.97564687975648</v>
      </c>
      <c r="U60" s="12" t="s">
        <v>88</v>
      </c>
      <c r="Y60">
        <f>MID(U60,9,SEARCH("T",U60,1)-14)*1</f>
        <v>300</v>
      </c>
    </row>
    <row r="61" spans="1:25" x14ac:dyDescent="0.3">
      <c r="A61" s="4" t="s">
        <v>7</v>
      </c>
      <c r="B61" s="2">
        <v>130</v>
      </c>
      <c r="C61" s="2">
        <v>20</v>
      </c>
      <c r="D61" s="2">
        <v>1</v>
      </c>
      <c r="E61" s="2">
        <v>230</v>
      </c>
      <c r="F61" s="14">
        <f>Table151129[[#This Row],[NO. OF ESTABLISHMENTS]]*Table151129[[#This Row],[ESTIMATED AVERAGE AMPACITY]]*Table151129[[#This Row],[VOLTAGE]]/1000</f>
        <v>598</v>
      </c>
      <c r="J61" s="2">
        <v>2</v>
      </c>
      <c r="L61" s="2">
        <v>1.46</v>
      </c>
      <c r="N61" s="2">
        <v>0.86</v>
      </c>
      <c r="R61" s="2"/>
      <c r="S61" s="21"/>
    </row>
    <row r="62" spans="1:25" x14ac:dyDescent="0.3">
      <c r="A62" s="4" t="s">
        <v>8</v>
      </c>
      <c r="B62" s="2">
        <v>10</v>
      </c>
      <c r="C62" s="2">
        <v>65</v>
      </c>
      <c r="D62" s="2">
        <v>1</v>
      </c>
      <c r="E62" s="2">
        <v>230</v>
      </c>
      <c r="F62" s="14">
        <f>Table151129[[#This Row],[NO. OF ESTABLISHMENTS]]*Table151129[[#This Row],[ESTIMATED AVERAGE AMPACITY]]*Table151129[[#This Row],[VOLTAGE]]/1000</f>
        <v>149.5</v>
      </c>
      <c r="R62" s="2"/>
      <c r="S62" s="21"/>
    </row>
    <row r="63" spans="1:25" x14ac:dyDescent="0.3">
      <c r="A63" s="4" t="s">
        <v>9</v>
      </c>
      <c r="B63" s="2">
        <v>0</v>
      </c>
      <c r="C63" s="2">
        <v>0</v>
      </c>
      <c r="D63" s="2">
        <v>0</v>
      </c>
      <c r="E63" s="2">
        <v>0</v>
      </c>
      <c r="F63" s="14">
        <v>0</v>
      </c>
      <c r="H63" t="s">
        <v>79</v>
      </c>
      <c r="I63" s="2" t="str">
        <f>"="</f>
        <v>=</v>
      </c>
      <c r="J63" s="2" t="str">
        <f>IF((COUNTIF(A60:A64,"Commercial Load (Bulk)")&gt;0),TRUNC(LOOKUP("Commercial Load (Bulk)",A60:A64,F60:F64))&amp;"(0.7)",IF(COUNTIF(A60:A64,"Industrial Load (Bulk)")&gt;0,TRUNC(LOOKUP("Industrial Load (Bulk)",A60:A64,F60:F64))&amp;"(0.7)",""))</f>
        <v/>
      </c>
      <c r="P63" s="24" t="str">
        <f>IF((COUNTIF(A60:A64,"Commercial Load (Bulk)")&gt;0),(LOOKUP("Commercial Load (Bulk)",A60:A64,F60:F64)*MID(J63,LEN(J63)-3,3))/J64,IF(COUNTIF(A60:A64,"Industrial Load (Bulk)")&gt;0,(LOOKUP("Industrial Load (Bulk)",A60:A64,F60:F64)*MID(J63,LEN(J63)-3,3))/J64,""))</f>
        <v/>
      </c>
      <c r="R63" s="2"/>
      <c r="S63" s="21" t="str">
        <f>IF(ISBLANK(R63),"",P63/R63)</f>
        <v/>
      </c>
    </row>
    <row r="64" spans="1:25" x14ac:dyDescent="0.3">
      <c r="J64" s="23" t="str">
        <f>IF((COUNTIF(A60:A64,"Commercial Load (Bulk)")&gt;0),"0.9",IF(COUNTIF(A60:A64,"Industrial Load (Bulk)")&gt;0,"0.9",""))</f>
        <v/>
      </c>
      <c r="R64" s="2"/>
      <c r="S64" s="21"/>
    </row>
    <row r="65" spans="1:25" x14ac:dyDescent="0.3">
      <c r="R65" s="2"/>
      <c r="S65" s="21"/>
    </row>
    <row r="66" spans="1:25" x14ac:dyDescent="0.3">
      <c r="A66" s="3" t="s">
        <v>35</v>
      </c>
      <c r="R66" s="2"/>
      <c r="S66" s="21"/>
    </row>
    <row r="67" spans="1:25" ht="15" thickBot="1" x14ac:dyDescent="0.35">
      <c r="R67" s="2" t="s">
        <v>76</v>
      </c>
      <c r="S67" s="25" t="s">
        <v>77</v>
      </c>
    </row>
    <row r="68" spans="1:25" ht="15" thickBot="1" x14ac:dyDescent="0.35">
      <c r="A68" s="5" t="s">
        <v>1</v>
      </c>
      <c r="B68" s="1" t="s">
        <v>2</v>
      </c>
      <c r="C68" s="1" t="s">
        <v>3</v>
      </c>
      <c r="D68" s="1" t="s">
        <v>4</v>
      </c>
      <c r="E68" s="1" t="s">
        <v>5</v>
      </c>
      <c r="F68" s="15" t="s">
        <v>6</v>
      </c>
      <c r="H68" t="s">
        <v>72</v>
      </c>
      <c r="I68" s="2" t="s">
        <v>73</v>
      </c>
      <c r="J68" s="13" t="str">
        <f>TRUNC(SUMIF(A68:A72,"Residential Load",F68:F72),3)&amp;"(0.6)"</f>
        <v>1380(0.6)</v>
      </c>
      <c r="K68" s="2" t="s">
        <v>74</v>
      </c>
      <c r="L68" s="13" t="str">
        <f>TRUNC(SUMIF(A68:A72,"Commercial Load",F68:F72),3)&amp;"(0.7)"</f>
        <v>655.5(0.7)</v>
      </c>
      <c r="M68" s="2" t="s">
        <v>74</v>
      </c>
      <c r="N68" s="13" t="str">
        <f>TRUNC(SUMIF(A68:A72,"Industrial Load",F68:F72),3)&amp;"(0.65)"</f>
        <v>0(0.65)</v>
      </c>
      <c r="O68" s="2" t="str">
        <f>"="</f>
        <v>=</v>
      </c>
      <c r="P68" s="20">
        <f>((SUMIF(A68:A72,"Residential Load",F68:F72)*MID(J68,LEN(J68)-3,3))/J69)+((SUMIF(A68:A72,"Commercial Load",F68:F72)*MID(L68,LEN(L68)-3,3))/L69)+((SUMIF(A68:A72,"Industrial Load",F68:F72)*MID(N68,LEN(N68)-3,3))/N69)</f>
        <v>728.28082191780823</v>
      </c>
      <c r="Q68" s="22" t="s">
        <v>75</v>
      </c>
      <c r="R68" s="2">
        <v>0.9</v>
      </c>
      <c r="S68" s="21">
        <f>P68/R68</f>
        <v>809.20091324200916</v>
      </c>
      <c r="U68" s="12" t="s">
        <v>90</v>
      </c>
      <c r="Y68">
        <f>MID(U68,9,SEARCH("T",U68,1)-14)*1</f>
        <v>1000</v>
      </c>
    </row>
    <row r="69" spans="1:25" x14ac:dyDescent="0.3">
      <c r="A69" s="4" t="s">
        <v>7</v>
      </c>
      <c r="B69" s="2">
        <v>150</v>
      </c>
      <c r="C69" s="2">
        <v>40</v>
      </c>
      <c r="D69" s="2">
        <v>1</v>
      </c>
      <c r="E69" s="2">
        <v>230</v>
      </c>
      <c r="F69" s="14">
        <f>Table161230[[#This Row],[NO. OF ESTABLISHMENTS]]*Table161230[[#This Row],[ESTIMATED AVERAGE AMPACITY]]*Table161230[[#This Row],[VOLTAGE]]/1000</f>
        <v>1380</v>
      </c>
      <c r="J69" s="2">
        <v>2</v>
      </c>
      <c r="L69" s="2">
        <v>1.46</v>
      </c>
      <c r="N69" s="2">
        <v>0.86</v>
      </c>
      <c r="R69" s="2"/>
      <c r="S69" s="25"/>
    </row>
    <row r="70" spans="1:25" x14ac:dyDescent="0.3">
      <c r="A70" s="4" t="s">
        <v>8</v>
      </c>
      <c r="B70" s="2">
        <v>30</v>
      </c>
      <c r="C70" s="2">
        <v>95</v>
      </c>
      <c r="D70" s="2">
        <v>1</v>
      </c>
      <c r="E70" s="2">
        <v>230</v>
      </c>
      <c r="F70" s="14">
        <f>Table161230[[#This Row],[NO. OF ESTABLISHMENTS]]*Table161230[[#This Row],[ESTIMATED AVERAGE AMPACITY]]*Table161230[[#This Row],[VOLTAGE]]/1000</f>
        <v>655.5</v>
      </c>
      <c r="R70" s="2"/>
      <c r="S70" s="21"/>
    </row>
    <row r="71" spans="1:25" x14ac:dyDescent="0.3">
      <c r="A71" s="4" t="s">
        <v>9</v>
      </c>
      <c r="B71" s="2">
        <v>0</v>
      </c>
      <c r="C71" s="2">
        <v>0</v>
      </c>
      <c r="D71" s="2">
        <v>0</v>
      </c>
      <c r="E71" s="2">
        <v>0</v>
      </c>
      <c r="F71" s="14">
        <v>0</v>
      </c>
      <c r="H71" t="s">
        <v>79</v>
      </c>
      <c r="I71" s="2" t="str">
        <f>"="</f>
        <v>=</v>
      </c>
      <c r="J71" s="2" t="str">
        <f>IF((COUNTIF(A68:A72,"Commercial Load (Bulk)")&gt;0),TRUNC(LOOKUP("Commercial Load (Bulk)",A68:A72,F68:F72))&amp;"(0.7)",IF(COUNTIF(A68:A72,"Industrial Load (Bulk)")&gt;0,TRUNC(LOOKUP("Industrial Load (Bulk)",A68:A72,F68:F72))&amp;"(0.7)",""))</f>
        <v/>
      </c>
      <c r="P71" s="24" t="str">
        <f>IF((COUNTIF(A68:A72,"Commercial Load (Bulk)")&gt;0),(LOOKUP("Commercial Load (Bulk)",A68:A72,F68:F72)*MID(J71,LEN(J71)-3,3))/J72,IF(COUNTIF(A68:A72,"Industrial Load (Bulk)")&gt;0,(LOOKUP("Industrial Load (Bulk)",A68:A72,F68:F72)*MID(J71,LEN(J71)-3,3))/J72,""))</f>
        <v/>
      </c>
      <c r="R71" s="2"/>
      <c r="S71" s="21" t="str">
        <f>IF(ISBLANK(R71),"",P71/R71)</f>
        <v/>
      </c>
    </row>
    <row r="72" spans="1:25" x14ac:dyDescent="0.3">
      <c r="J72" s="23" t="str">
        <f>IF((COUNTIF(A68:A72,"Commercial Load (Bulk)")&gt;0),"0.9",IF(COUNTIF(A68:A72,"Industrial Load (Bulk)")&gt;0,"0.9",""))</f>
        <v/>
      </c>
      <c r="R72" s="2"/>
      <c r="S72" s="21"/>
    </row>
    <row r="73" spans="1:25" x14ac:dyDescent="0.3">
      <c r="R73" s="2"/>
      <c r="S73" s="21"/>
    </row>
    <row r="74" spans="1:25" x14ac:dyDescent="0.3">
      <c r="A74" s="3" t="s">
        <v>36</v>
      </c>
      <c r="R74" s="2"/>
      <c r="S74" s="21"/>
    </row>
    <row r="75" spans="1:25" ht="15" thickBot="1" x14ac:dyDescent="0.35">
      <c r="R75" s="2" t="s">
        <v>76</v>
      </c>
      <c r="S75" s="25" t="s">
        <v>77</v>
      </c>
    </row>
    <row r="76" spans="1:25" ht="15" thickBot="1" x14ac:dyDescent="0.35">
      <c r="A76" s="5" t="s">
        <v>1</v>
      </c>
      <c r="B76" s="1" t="s">
        <v>2</v>
      </c>
      <c r="C76" s="1" t="s">
        <v>3</v>
      </c>
      <c r="D76" s="1" t="s">
        <v>4</v>
      </c>
      <c r="E76" s="1" t="s">
        <v>5</v>
      </c>
      <c r="F76" s="15" t="s">
        <v>6</v>
      </c>
      <c r="H76" t="s">
        <v>72</v>
      </c>
      <c r="I76" s="2" t="s">
        <v>73</v>
      </c>
      <c r="J76" s="13" t="str">
        <f>TRUNC(SUMIF(A76:A80,"Residential Load",F76:F80),3)&amp;"(0.6)"</f>
        <v>966(0.6)</v>
      </c>
      <c r="K76" s="2" t="s">
        <v>74</v>
      </c>
      <c r="L76" s="13" t="str">
        <f>TRUNC(SUMIF(A76:A80,"Commercial Load",F76:F80),3)&amp;"(0.7)"</f>
        <v>258.75(0.7)</v>
      </c>
      <c r="M76" s="2" t="s">
        <v>74</v>
      </c>
      <c r="N76" s="13" t="str">
        <f>TRUNC(SUMIF(A76:A80,"Industrial Load",F76:F80),3)&amp;"(0.65)"</f>
        <v>0(0.65)</v>
      </c>
      <c r="O76" s="2" t="str">
        <f>"="</f>
        <v>=</v>
      </c>
      <c r="P76" s="20">
        <f>((SUMIF(A76:A80,"Residential Load",F76:F80)*MID(J76,LEN(J76)-3,3))/J77)+((SUMIF(A76:A80,"Commercial Load",F76:F80)*MID(L76,LEN(L76)-3,3))/L77)+((SUMIF(A76:A80,"Industrial Load",F76:F80)*MID(N76,LEN(N76)-3,3))/N77)</f>
        <v>413.85821917808221</v>
      </c>
      <c r="Q76" s="22" t="s">
        <v>75</v>
      </c>
      <c r="R76" s="2">
        <v>0.9</v>
      </c>
      <c r="S76" s="21">
        <f>P76/R76</f>
        <v>459.84246575342468</v>
      </c>
      <c r="U76" s="12" t="s">
        <v>96</v>
      </c>
      <c r="Y76">
        <f>MID(U76,9,SEARCH("T",U76,1)-14)*1</f>
        <v>500</v>
      </c>
    </row>
    <row r="77" spans="1:25" x14ac:dyDescent="0.3">
      <c r="A77" s="4" t="s">
        <v>7</v>
      </c>
      <c r="B77" s="2">
        <v>140</v>
      </c>
      <c r="C77" s="2">
        <v>30</v>
      </c>
      <c r="D77" s="2">
        <v>1</v>
      </c>
      <c r="E77" s="2">
        <v>230</v>
      </c>
      <c r="F77" s="14">
        <f>Table171331[[#This Row],[NO. OF ESTABLISHMENTS]]*Table171331[[#This Row],[ESTIMATED AVERAGE AMPACITY]]*Table171331[[#This Row],[VOLTAGE]]/1000</f>
        <v>966</v>
      </c>
      <c r="J77" s="2">
        <v>2</v>
      </c>
      <c r="L77" s="2">
        <v>1.46</v>
      </c>
      <c r="N77" s="2">
        <v>0.86</v>
      </c>
      <c r="R77" s="2"/>
      <c r="S77" s="25"/>
    </row>
    <row r="78" spans="1:25" x14ac:dyDescent="0.3">
      <c r="A78" s="4" t="s">
        <v>8</v>
      </c>
      <c r="B78" s="2">
        <v>15</v>
      </c>
      <c r="C78" s="2">
        <v>75</v>
      </c>
      <c r="D78" s="2">
        <v>1</v>
      </c>
      <c r="E78" s="2">
        <v>230</v>
      </c>
      <c r="F78" s="14">
        <f>Table171331[[#This Row],[NO. OF ESTABLISHMENTS]]*Table171331[[#This Row],[ESTIMATED AVERAGE AMPACITY]]*Table171331[[#This Row],[VOLTAGE]]/1000</f>
        <v>258.75</v>
      </c>
      <c r="R78" s="2"/>
      <c r="S78" s="21"/>
    </row>
    <row r="79" spans="1:25" x14ac:dyDescent="0.3">
      <c r="A79" s="4" t="s">
        <v>9</v>
      </c>
      <c r="B79" s="2">
        <v>0</v>
      </c>
      <c r="C79" s="2">
        <v>0</v>
      </c>
      <c r="D79" s="2">
        <v>0</v>
      </c>
      <c r="E79" s="2">
        <v>0</v>
      </c>
      <c r="F79" s="14">
        <v>0</v>
      </c>
      <c r="H79" t="s">
        <v>79</v>
      </c>
      <c r="I79" s="2" t="str">
        <f>"="</f>
        <v>=</v>
      </c>
      <c r="J79" s="2" t="str">
        <f>IF((COUNTIF(A76:A80,"Commercial Load (Bulk)")&gt;0),TRUNC(LOOKUP("Commercial Load (Bulk)",A76:A80,F76:F80))&amp;"(0.7)",IF(COUNTIF(A76:A80,"Industrial Load (Bulk)")&gt;0,TRUNC(LOOKUP("Industrial Load (Bulk)",A76:A80,F76:F80))&amp;"(0.7)",""))</f>
        <v/>
      </c>
      <c r="P79" s="24" t="str">
        <f>IF((COUNTIF(A76:A80,"Commercial Load (Bulk)")&gt;0),(LOOKUP("Commercial Load (Bulk)",A76:A80,F76:F80)*MID(J79,LEN(J79)-3,3))/J80,IF(COUNTIF(A76:A80,"Industrial Load (Bulk)")&gt;0,(LOOKUP("Industrial Load (Bulk)",A76:A80,F76:F80)*MID(J79,LEN(J79)-3,3))/J80,""))</f>
        <v/>
      </c>
      <c r="R79" s="2"/>
      <c r="S79" s="21" t="str">
        <f>IF(ISBLANK(R79),"",P79/R79)</f>
        <v/>
      </c>
    </row>
    <row r="80" spans="1:25" x14ac:dyDescent="0.3">
      <c r="J80" s="23" t="str">
        <f>IF((COUNTIF(A76:A80,"Commercial Load (Bulk)")&gt;0),"0.9",IF(COUNTIF(A76:A80,"Industrial Load (Bulk)")&gt;0,"0.9",""))</f>
        <v/>
      </c>
      <c r="R80" s="2"/>
      <c r="S80" s="21"/>
    </row>
    <row r="81" spans="1:25" x14ac:dyDescent="0.3">
      <c r="R81" s="2"/>
      <c r="S81" s="21"/>
    </row>
    <row r="82" spans="1:25" x14ac:dyDescent="0.3">
      <c r="A82" s="3" t="s">
        <v>37</v>
      </c>
      <c r="R82" s="2"/>
      <c r="S82" s="21"/>
    </row>
    <row r="83" spans="1:25" ht="15" thickBot="1" x14ac:dyDescent="0.35">
      <c r="R83" s="2" t="s">
        <v>76</v>
      </c>
      <c r="S83" s="25" t="s">
        <v>77</v>
      </c>
    </row>
    <row r="84" spans="1:25" ht="15" thickBot="1" x14ac:dyDescent="0.35">
      <c r="A84" s="5" t="s">
        <v>1</v>
      </c>
      <c r="B84" s="1" t="s">
        <v>2</v>
      </c>
      <c r="C84" s="1" t="s">
        <v>3</v>
      </c>
      <c r="D84" s="1" t="s">
        <v>4</v>
      </c>
      <c r="E84" s="1" t="s">
        <v>5</v>
      </c>
      <c r="F84" s="15" t="s">
        <v>6</v>
      </c>
      <c r="H84" t="s">
        <v>72</v>
      </c>
      <c r="I84" s="2" t="s">
        <v>73</v>
      </c>
      <c r="J84" s="13" t="str">
        <f>TRUNC(SUMIF(A84:A88,"Residential Load",F84:F88),3)&amp;"(0.6)"</f>
        <v>598(0.6)</v>
      </c>
      <c r="K84" s="2" t="s">
        <v>74</v>
      </c>
      <c r="L84" s="13" t="str">
        <f>TRUNC(SUMIF(A84:A88,"Commercial Load",F84:F88),3)&amp;"(0.7)"</f>
        <v>149.5(0.7)</v>
      </c>
      <c r="M84" s="2" t="s">
        <v>74</v>
      </c>
      <c r="N84" s="13" t="str">
        <f>TRUNC(SUMIF(A84:A88,"Industrial Load",F84:F88),3)&amp;"(0.65)"</f>
        <v>0(0.65)</v>
      </c>
      <c r="O84" s="2" t="str">
        <f>"="</f>
        <v>=</v>
      </c>
      <c r="P84" s="20">
        <f>((SUMIF(A84:A88,"Residential Load",F84:F88)*MID(J84,LEN(J84)-3,3))/J85)+((SUMIF(A84:A88,"Commercial Load",F84:F88)*MID(L84,LEN(L84)-3,3))/L85)+((SUMIF(A84:A88,"Industrial Load",F84:F88)*MID(N84,LEN(N84)-3,3))/N85)</f>
        <v>251.07808219178082</v>
      </c>
      <c r="Q84" s="22" t="s">
        <v>75</v>
      </c>
      <c r="R84" s="2">
        <v>0.9</v>
      </c>
      <c r="S84" s="21">
        <f>P84/R84</f>
        <v>278.97564687975648</v>
      </c>
      <c r="U84" s="12" t="s">
        <v>88</v>
      </c>
      <c r="Y84">
        <f>MID(U84,9,SEARCH("T",U84,1)-14)*1</f>
        <v>300</v>
      </c>
    </row>
    <row r="85" spans="1:25" x14ac:dyDescent="0.3">
      <c r="A85" s="4" t="s">
        <v>7</v>
      </c>
      <c r="B85" s="2">
        <v>130</v>
      </c>
      <c r="C85" s="2">
        <v>20</v>
      </c>
      <c r="D85" s="2">
        <v>1</v>
      </c>
      <c r="E85" s="2">
        <v>230</v>
      </c>
      <c r="F85" s="14">
        <f>Table1581432[[#This Row],[NO. OF ESTABLISHMENTS]]*Table1581432[[#This Row],[ESTIMATED AVERAGE AMPACITY]]*Table1581432[[#This Row],[VOLTAGE]]/1000</f>
        <v>598</v>
      </c>
      <c r="J85" s="2">
        <v>2</v>
      </c>
      <c r="L85" s="2">
        <v>1.46</v>
      </c>
      <c r="N85" s="2">
        <v>0.86</v>
      </c>
      <c r="R85" s="2"/>
      <c r="S85" s="25"/>
    </row>
    <row r="86" spans="1:25" x14ac:dyDescent="0.3">
      <c r="A86" s="4" t="s">
        <v>8</v>
      </c>
      <c r="B86" s="2">
        <v>10</v>
      </c>
      <c r="C86" s="2">
        <v>65</v>
      </c>
      <c r="D86" s="2">
        <v>1</v>
      </c>
      <c r="E86" s="2">
        <v>230</v>
      </c>
      <c r="F86" s="14">
        <f>Table1581432[[#This Row],[NO. OF ESTABLISHMENTS]]*Table1581432[[#This Row],[ESTIMATED AVERAGE AMPACITY]]*Table1581432[[#This Row],[VOLTAGE]]/1000</f>
        <v>149.5</v>
      </c>
      <c r="R86" s="2"/>
      <c r="S86" s="21"/>
    </row>
    <row r="87" spans="1:25" x14ac:dyDescent="0.3">
      <c r="A87" s="4" t="s">
        <v>9</v>
      </c>
      <c r="B87" s="2">
        <v>0</v>
      </c>
      <c r="C87" s="2">
        <v>0</v>
      </c>
      <c r="D87" s="2">
        <v>0</v>
      </c>
      <c r="E87" s="2">
        <v>0</v>
      </c>
      <c r="F87" s="14">
        <v>0</v>
      </c>
      <c r="H87" t="s">
        <v>79</v>
      </c>
      <c r="I87" s="2" t="str">
        <f>"="</f>
        <v>=</v>
      </c>
      <c r="J87" s="2" t="str">
        <f>IF((COUNTIF(A84:A88,"Commercial Load (Bulk)")&gt;0),TRUNC(LOOKUP("Commercial Load (Bulk)",A84:A88,F84:F88))&amp;"(0.7)",IF(COUNTIF(A84:A88,"Industrial Load (Bulk)")&gt;0,TRUNC(LOOKUP("Industrial Load (Bulk)",A84:A88,F84:F88))&amp;"(0.7)",""))</f>
        <v/>
      </c>
      <c r="P87" s="24" t="str">
        <f>IF((COUNTIF(A84:A88,"Commercial Load (Bulk)")&gt;0),(LOOKUP("Commercial Load (Bulk)",A84:A88,F84:F88)*MID(J87,LEN(J87)-3,3))/J88,IF(COUNTIF(A84:A88,"Industrial Load (Bulk)")&gt;0,(LOOKUP("Industrial Load (Bulk)",A84:A88,F84:F88)*MID(J87,LEN(J87)-3,3))/J88,""))</f>
        <v/>
      </c>
      <c r="R87" s="2"/>
      <c r="S87" s="21" t="str">
        <f>IF(ISBLANK(R87),"",P87/R87)</f>
        <v/>
      </c>
    </row>
    <row r="88" spans="1:25" x14ac:dyDescent="0.3">
      <c r="J88" s="23" t="str">
        <f>IF((COUNTIF(A84:A88,"Commercial Load (Bulk)")&gt;0),"0.9",IF(COUNTIF(A84:A88,"Industrial Load (Bulk)")&gt;0,"0.9",""))</f>
        <v/>
      </c>
      <c r="R88" s="2"/>
      <c r="S88" s="21"/>
    </row>
    <row r="89" spans="1:25" x14ac:dyDescent="0.3">
      <c r="R89" s="2"/>
      <c r="S89" s="21"/>
    </row>
    <row r="90" spans="1:25" x14ac:dyDescent="0.3">
      <c r="A90" s="3" t="s">
        <v>38</v>
      </c>
      <c r="R90" s="2"/>
      <c r="S90" s="21"/>
    </row>
    <row r="91" spans="1:25" ht="15" thickBot="1" x14ac:dyDescent="0.35">
      <c r="R91" s="2" t="s">
        <v>76</v>
      </c>
      <c r="S91" s="25" t="s">
        <v>77</v>
      </c>
    </row>
    <row r="92" spans="1:25" ht="15" thickBot="1" x14ac:dyDescent="0.35">
      <c r="A92" s="5" t="s">
        <v>1</v>
      </c>
      <c r="B92" s="1" t="s">
        <v>2</v>
      </c>
      <c r="C92" s="1" t="s">
        <v>3</v>
      </c>
      <c r="D92" s="1" t="s">
        <v>4</v>
      </c>
      <c r="E92" s="1" t="s">
        <v>5</v>
      </c>
      <c r="F92" s="15" t="s">
        <v>6</v>
      </c>
      <c r="H92" t="s">
        <v>72</v>
      </c>
      <c r="I92" s="2" t="s">
        <v>73</v>
      </c>
      <c r="J92" s="13" t="str">
        <f>TRUNC(SUMIF(A92:A96,"Residential Load",F92:F96),3)&amp;"(0.6)"</f>
        <v>1380(0.6)</v>
      </c>
      <c r="K92" s="2" t="s">
        <v>74</v>
      </c>
      <c r="L92" s="13" t="str">
        <f>TRUNC(SUMIF(A92:A96,"Commercial Load",F92:F96),3)&amp;"(0.7)"</f>
        <v>488.75(0.7)</v>
      </c>
      <c r="M92" s="2" t="s">
        <v>74</v>
      </c>
      <c r="N92" s="13" t="str">
        <f>TRUNC(SUMIF(A92:A96,"Industrial Load",F92:F96),3)&amp;"(0.65)"</f>
        <v>0(0.65)</v>
      </c>
      <c r="O92" s="2" t="str">
        <f>"="</f>
        <v>=</v>
      </c>
      <c r="P92" s="20">
        <f>((SUMIF(A92:A96,"Residential Load",F92:F96)*MID(J92,LEN(J92)-3,3))/J93)+((SUMIF(A92:A96,"Commercial Load",F92:F96)*MID(L92,LEN(L92)-3,3))/L93)+((SUMIF(A92:A96,"Industrial Load",F92:F96)*MID(N92,LEN(N92)-3,3))/N93)</f>
        <v>648.33219178082186</v>
      </c>
      <c r="Q92" s="22" t="s">
        <v>75</v>
      </c>
      <c r="R92" s="2">
        <v>0.9</v>
      </c>
      <c r="S92" s="21">
        <f>P92/R92</f>
        <v>720.36910197869099</v>
      </c>
      <c r="U92" s="12" t="s">
        <v>91</v>
      </c>
      <c r="Y92">
        <f>MID(U92,9,SEARCH("T",U92,1)-14)*1</f>
        <v>800</v>
      </c>
    </row>
    <row r="93" spans="1:25" x14ac:dyDescent="0.3">
      <c r="A93" s="4" t="s">
        <v>7</v>
      </c>
      <c r="B93" s="2">
        <v>150</v>
      </c>
      <c r="C93" s="2">
        <v>40</v>
      </c>
      <c r="D93" s="2">
        <v>1</v>
      </c>
      <c r="E93" s="2">
        <v>230</v>
      </c>
      <c r="F93" s="14">
        <f>Table1691533[[#This Row],[NO. OF ESTABLISHMENTS]]*Table1691533[[#This Row],[ESTIMATED AVERAGE AMPACITY]]*Table1691533[[#This Row],[VOLTAGE]]/1000</f>
        <v>1380</v>
      </c>
      <c r="J93" s="2">
        <v>2</v>
      </c>
      <c r="L93" s="2">
        <v>1.46</v>
      </c>
      <c r="N93" s="2">
        <v>0.86</v>
      </c>
      <c r="R93" s="2"/>
      <c r="S93" s="25"/>
    </row>
    <row r="94" spans="1:25" x14ac:dyDescent="0.3">
      <c r="A94" s="4" t="s">
        <v>8</v>
      </c>
      <c r="B94" s="2">
        <v>25</v>
      </c>
      <c r="C94" s="2">
        <v>85</v>
      </c>
      <c r="D94" s="2">
        <v>1</v>
      </c>
      <c r="E94" s="2">
        <v>230</v>
      </c>
      <c r="F94" s="14">
        <f>Table1691533[[#This Row],[NO. OF ESTABLISHMENTS]]*Table1691533[[#This Row],[ESTIMATED AVERAGE AMPACITY]]*Table1691533[[#This Row],[VOLTAGE]]/1000</f>
        <v>488.75</v>
      </c>
      <c r="R94" s="2"/>
      <c r="S94" s="21"/>
    </row>
    <row r="95" spans="1:25" x14ac:dyDescent="0.3">
      <c r="A95" s="4" t="s">
        <v>9</v>
      </c>
      <c r="B95" s="2">
        <v>0</v>
      </c>
      <c r="C95" s="2">
        <v>0</v>
      </c>
      <c r="D95" s="2">
        <v>0</v>
      </c>
      <c r="E95" s="2">
        <v>0</v>
      </c>
      <c r="F95" s="14">
        <v>0</v>
      </c>
      <c r="H95" t="s">
        <v>79</v>
      </c>
      <c r="I95" s="2" t="str">
        <f>"="</f>
        <v>=</v>
      </c>
      <c r="J95" s="2" t="str">
        <f>IF((COUNTIF(A92:A96,"Commercial Load (Bulk)")&gt;0),TRUNC(LOOKUP("Commercial Load (Bulk)",A92:A96,F92:F96))&amp;"(0.7)",IF(COUNTIF(A92:A96,"Industrial Load (Bulk)")&gt;0,TRUNC(LOOKUP("Industrial Load (Bulk)",A92:A96,F92:F96))&amp;"(0.7)",""))</f>
        <v/>
      </c>
      <c r="P95" s="24" t="str">
        <f>IF((COUNTIF(A92:A96,"Commercial Load (Bulk)")&gt;0),(LOOKUP("Commercial Load (Bulk)",A92:A96,F92:F96)*MID(J95,LEN(J95)-3,3))/J96,IF(COUNTIF(A92:A96,"Industrial Load (Bulk)")&gt;0,(LOOKUP("Industrial Load (Bulk)",A92:A96,F92:F96)*MID(J95,LEN(J95)-3,3))/J96,""))</f>
        <v/>
      </c>
      <c r="R95" s="2"/>
      <c r="S95" s="21" t="str">
        <f>IF(ISBLANK(R95),"",P95/R95)</f>
        <v/>
      </c>
    </row>
    <row r="96" spans="1:25" x14ac:dyDescent="0.3">
      <c r="J96" s="23" t="str">
        <f>IF((COUNTIF(A92:A96,"Commercial Load (Bulk)")&gt;0),"0.9",IF(COUNTIF(A92:A96,"Industrial Load (Bulk)")&gt;0,"0.9",""))</f>
        <v/>
      </c>
      <c r="R96" s="2"/>
      <c r="S96" s="21"/>
    </row>
    <row r="97" spans="1:25" x14ac:dyDescent="0.3">
      <c r="R97" s="2"/>
      <c r="S97" s="21"/>
    </row>
    <row r="98" spans="1:25" x14ac:dyDescent="0.3">
      <c r="A98" s="3" t="s">
        <v>39</v>
      </c>
      <c r="R98" s="2"/>
      <c r="S98" s="21"/>
    </row>
    <row r="99" spans="1:25" ht="15" thickBot="1" x14ac:dyDescent="0.35">
      <c r="R99" s="2" t="s">
        <v>76</v>
      </c>
      <c r="S99" s="25" t="s">
        <v>77</v>
      </c>
    </row>
    <row r="100" spans="1:25" ht="15" thickBot="1" x14ac:dyDescent="0.35">
      <c r="A100" s="5" t="s">
        <v>1</v>
      </c>
      <c r="B100" s="1" t="s">
        <v>2</v>
      </c>
      <c r="C100" s="1" t="s">
        <v>3</v>
      </c>
      <c r="D100" s="1" t="s">
        <v>4</v>
      </c>
      <c r="E100" s="1" t="s">
        <v>5</v>
      </c>
      <c r="F100" s="15" t="s">
        <v>6</v>
      </c>
      <c r="H100" t="s">
        <v>72</v>
      </c>
      <c r="I100" s="2" t="s">
        <v>73</v>
      </c>
      <c r="J100" s="13" t="str">
        <f>TRUNC(SUMIF(A100:A104,"Residential Load",F100:F104),3)&amp;"(0.6)"</f>
        <v>736(0.6)</v>
      </c>
      <c r="K100" s="2" t="s">
        <v>74</v>
      </c>
      <c r="L100" s="13" t="str">
        <f>TRUNC(SUMIF(A100:A104,"Commercial Load",F100:F104),3)&amp;"(0.7)"</f>
        <v>224.25(0.7)</v>
      </c>
      <c r="M100" s="2" t="s">
        <v>74</v>
      </c>
      <c r="N100" s="13" t="str">
        <f>TRUNC(SUMIF(A100:A104,"Industrial Load",F100:F104),3)&amp;"(0.65)"</f>
        <v>0(0.65)</v>
      </c>
      <c r="O100" s="2" t="str">
        <f>"="</f>
        <v>=</v>
      </c>
      <c r="P100" s="20">
        <f>((SUMIF(A100:A104,"Residential Load",F100:F104)*MID(J100,LEN(J100)-3,3))/J101)+((SUMIF(A100:A104,"Commercial Load",F100:F104)*MID(L100,LEN(L100)-3,3))/L101)+((SUMIF(A100:A104,"Industrial Load",F100:F104)*MID(N100,LEN(N100)-3,3))/N101)</f>
        <v>328.31712328767122</v>
      </c>
      <c r="Q100" s="22" t="s">
        <v>75</v>
      </c>
      <c r="R100" s="2">
        <v>0.9</v>
      </c>
      <c r="S100" s="21">
        <f>P100/R100</f>
        <v>364.79680365296804</v>
      </c>
      <c r="U100" s="12" t="s">
        <v>89</v>
      </c>
      <c r="Y100">
        <f>MID(U100,9,SEARCH("T",U100,1)-14)*1</f>
        <v>450</v>
      </c>
    </row>
    <row r="101" spans="1:25" x14ac:dyDescent="0.3">
      <c r="A101" s="4" t="s">
        <v>7</v>
      </c>
      <c r="B101" s="2">
        <v>80</v>
      </c>
      <c r="C101" s="2">
        <v>40</v>
      </c>
      <c r="D101" s="2">
        <v>1</v>
      </c>
      <c r="E101" s="2">
        <v>230</v>
      </c>
      <c r="F101" s="14">
        <f>Table11634[[#This Row],[NO. OF ESTABLISHMENTS]]*Table11634[[#This Row],[ESTIMATED AVERAGE AMPACITY]]*Table11634[[#This Row],[VOLTAGE]]/1000</f>
        <v>736</v>
      </c>
      <c r="J101" s="2">
        <v>2</v>
      </c>
      <c r="L101" s="2">
        <v>1.46</v>
      </c>
      <c r="N101" s="2">
        <v>0.86</v>
      </c>
      <c r="R101" s="2"/>
      <c r="S101" s="25"/>
    </row>
    <row r="102" spans="1:25" x14ac:dyDescent="0.3">
      <c r="A102" s="4" t="s">
        <v>8</v>
      </c>
      <c r="B102" s="2">
        <v>15</v>
      </c>
      <c r="C102" s="2">
        <v>65</v>
      </c>
      <c r="D102" s="2">
        <v>1</v>
      </c>
      <c r="E102" s="2">
        <v>230</v>
      </c>
      <c r="F102" s="14">
        <f>Table11634[[#This Row],[NO. OF ESTABLISHMENTS]]*Table11634[[#This Row],[ESTIMATED AVERAGE AMPACITY]]*Table11634[[#This Row],[VOLTAGE]]/1000</f>
        <v>224.25</v>
      </c>
      <c r="R102" s="2"/>
      <c r="S102" s="21"/>
    </row>
    <row r="103" spans="1:25" x14ac:dyDescent="0.3">
      <c r="A103" s="4" t="s">
        <v>9</v>
      </c>
      <c r="B103" s="2">
        <v>0</v>
      </c>
      <c r="C103" s="2">
        <v>0</v>
      </c>
      <c r="D103" s="2">
        <v>0</v>
      </c>
      <c r="E103" s="2">
        <v>0</v>
      </c>
      <c r="F103" s="14">
        <v>0</v>
      </c>
      <c r="H103" t="s">
        <v>79</v>
      </c>
      <c r="I103" s="2" t="str">
        <f>"="</f>
        <v>=</v>
      </c>
      <c r="J103" s="2" t="str">
        <f>IF((COUNTIF(A100:A104,"Commercial Load (Bulk)")&gt;0),TRUNC(LOOKUP("Commercial Load (Bulk)",A100:A104,F100:F104))&amp;"(0.7)",IF(COUNTIF(A100:A104,"Industrial Load (Bulk)")&gt;0,TRUNC(LOOKUP("Industrial Load (Bulk)",A100:A104,F100:F104))&amp;"(0.7)",""))</f>
        <v/>
      </c>
      <c r="P103" s="24" t="str">
        <f>IF((COUNTIF(A100:A104,"Commercial Load (Bulk)")&gt;0),(LOOKUP("Commercial Load (Bulk)",A100:A104,F100:F104)*MID(J103,LEN(J103)-3,3))/J104,IF(COUNTIF(A100:A104,"Industrial Load (Bulk)")&gt;0,(LOOKUP("Industrial Load (Bulk)",A100:A104,F100:F104)*MID(J103,LEN(J103)-3,3))/J104,""))</f>
        <v/>
      </c>
      <c r="R103" s="2"/>
      <c r="S103" s="21" t="str">
        <f>IF(ISBLANK(R103),"",P103/R103)</f>
        <v/>
      </c>
    </row>
    <row r="104" spans="1:25" x14ac:dyDescent="0.3">
      <c r="J104" s="23" t="str">
        <f>IF((COUNTIF(A100:A104,"Commercial Load (Bulk)")&gt;0),"0.9",IF(COUNTIF(A100:A104,"Industrial Load (Bulk)")&gt;0,"0.9",""))</f>
        <v/>
      </c>
      <c r="R104" s="2"/>
      <c r="S104" s="21"/>
    </row>
    <row r="105" spans="1:25" x14ac:dyDescent="0.3">
      <c r="R105" s="2"/>
      <c r="S105" s="21"/>
    </row>
    <row r="106" spans="1:25" x14ac:dyDescent="0.3">
      <c r="A106" s="3" t="s">
        <v>40</v>
      </c>
      <c r="R106" s="2"/>
      <c r="S106" s="21"/>
    </row>
    <row r="107" spans="1:25" ht="15" thickBot="1" x14ac:dyDescent="0.35">
      <c r="R107" s="2" t="s">
        <v>76</v>
      </c>
      <c r="S107" s="25" t="s">
        <v>77</v>
      </c>
    </row>
    <row r="108" spans="1:25" ht="15" thickBot="1" x14ac:dyDescent="0.35">
      <c r="A108" s="5" t="s">
        <v>1</v>
      </c>
      <c r="B108" s="1" t="s">
        <v>2</v>
      </c>
      <c r="C108" s="1" t="s">
        <v>3</v>
      </c>
      <c r="D108" s="1" t="s">
        <v>4</v>
      </c>
      <c r="E108" s="1" t="s">
        <v>5</v>
      </c>
      <c r="F108" s="15" t="s">
        <v>6</v>
      </c>
      <c r="H108" t="s">
        <v>72</v>
      </c>
      <c r="I108" s="2" t="s">
        <v>73</v>
      </c>
      <c r="J108" s="13" t="str">
        <f>TRUNC(SUMIF(A108:A112,"Residential Load",F108:F112),3)&amp;"(0.6)"</f>
        <v>230(0.6)</v>
      </c>
      <c r="K108" s="2" t="s">
        <v>74</v>
      </c>
      <c r="L108" s="13" t="str">
        <f>TRUNC(SUMIF(A108:A112,"Commercial Load",F108:F112),3)&amp;"(0.7)"</f>
        <v>74.75(0.7)</v>
      </c>
      <c r="M108" s="2" t="s">
        <v>74</v>
      </c>
      <c r="N108" s="13" t="str">
        <f>TRUNC(SUMIF(A108:A112,"Industrial Load",F108:F112),3)&amp;"(0.65)"</f>
        <v>0(0.65)</v>
      </c>
      <c r="O108" s="2" t="str">
        <f>"="</f>
        <v>=</v>
      </c>
      <c r="P108" s="20">
        <f>((SUMIF(A108:A112,"Residential Load",F108:F112)*MID(J108,LEN(J108)-3,3))/J109)+((SUMIF(A108:A112,"Commercial Load",F108:F112)*MID(L108,LEN(L108)-3,3))/L109)+((SUMIF(A108:A112,"Industrial Load",F108:F112)*MID(N108,LEN(N108)-3,3))/N109)</f>
        <v>104.83904109589041</v>
      </c>
      <c r="Q108" s="22" t="s">
        <v>75</v>
      </c>
      <c r="R108" s="2">
        <v>0.9</v>
      </c>
      <c r="S108" s="21">
        <f>P108/R108</f>
        <v>116.48782343987823</v>
      </c>
      <c r="U108" s="12" t="s">
        <v>94</v>
      </c>
      <c r="Y108">
        <v>800</v>
      </c>
    </row>
    <row r="109" spans="1:25" x14ac:dyDescent="0.3">
      <c r="A109" s="4" t="s">
        <v>7</v>
      </c>
      <c r="B109" s="2">
        <v>50</v>
      </c>
      <c r="C109" s="2">
        <v>20</v>
      </c>
      <c r="D109" s="2">
        <v>1</v>
      </c>
      <c r="E109" s="2">
        <v>230</v>
      </c>
      <c r="F109" s="14">
        <f>Table151735[[#This Row],[NO. OF ESTABLISHMENTS]]*Table151735[[#This Row],[ESTIMATED AVERAGE AMPACITY]]*Table151735[[#This Row],[VOLTAGE]]/1000</f>
        <v>230</v>
      </c>
      <c r="J109" s="2">
        <v>2</v>
      </c>
      <c r="L109" s="2">
        <v>1.46</v>
      </c>
      <c r="N109" s="2">
        <v>0.86</v>
      </c>
      <c r="R109" s="2"/>
      <c r="S109" s="25"/>
    </row>
    <row r="110" spans="1:25" x14ac:dyDescent="0.3">
      <c r="A110" s="4" t="s">
        <v>8</v>
      </c>
      <c r="B110" s="2">
        <v>5</v>
      </c>
      <c r="C110" s="2">
        <v>65</v>
      </c>
      <c r="D110" s="2">
        <v>1</v>
      </c>
      <c r="E110" s="2">
        <v>230</v>
      </c>
      <c r="F110" s="14">
        <f>Table151735[[#This Row],[NO. OF ESTABLISHMENTS]]*Table151735[[#This Row],[ESTIMATED AVERAGE AMPACITY]]*Table151735[[#This Row],[VOLTAGE]]/1000</f>
        <v>74.75</v>
      </c>
      <c r="R110" s="2"/>
      <c r="S110" s="21"/>
    </row>
    <row r="111" spans="1:25" x14ac:dyDescent="0.3">
      <c r="A111" s="4" t="s">
        <v>80</v>
      </c>
      <c r="B111" s="2">
        <v>1</v>
      </c>
      <c r="C111" s="2">
        <v>600</v>
      </c>
      <c r="D111" s="2">
        <v>3</v>
      </c>
      <c r="E111" s="2">
        <v>2300</v>
      </c>
      <c r="F111" s="14">
        <f>Table151735[[#This Row],[NO. OF ESTABLISHMENTS]]*Table151735[[#This Row],[ESTIMATED AVERAGE AMPACITY]]*Table151735[[#This Row],[VOLTAGE]]*SQRT(3)/1000</f>
        <v>2390.2301144450507</v>
      </c>
      <c r="H111" t="s">
        <v>79</v>
      </c>
      <c r="I111" s="2" t="str">
        <f>"="</f>
        <v>=</v>
      </c>
      <c r="J111" s="2" t="str">
        <f>IF((COUNTIF(A108:A112,"Commercial Load (Bulk)")&gt;0),TRUNC(LOOKUP("Commercial Load (Bulk)",A108:A112,F108:F112))&amp;"(0.7)",IF(COUNTIF(A108:A112,"Industrial Load (Bulk)")&gt;0,TRUNC(LOOKUP("Industrial Load (Bulk)",A108:A112,F108:F112))&amp;"(0.7)",""))</f>
        <v>2390(0.7)</v>
      </c>
      <c r="P111" s="24">
        <f>IF((COUNTIF(A108:A112,"Commercial Load (Bulk)")&gt;0),(LOOKUP("Commercial Load (Bulk)",A108:A112,F108:F112)*MID(J111,LEN(J111)-3,3))/J112,IF(COUNTIF(A108:A112,"Industrial Load (Bulk)")&gt;0,(LOOKUP("Industrial Load (Bulk)",A108:A112,F108:F112)*MID(J111,LEN(J111)-3,3))/J112,""))</f>
        <v>1859.067866790595</v>
      </c>
      <c r="Q111" s="12" t="s">
        <v>77</v>
      </c>
      <c r="R111" s="2"/>
      <c r="S111" s="21" t="str">
        <f>IF(ISBLANK(R111),"",P111/R111)</f>
        <v/>
      </c>
      <c r="U111" s="12" t="s">
        <v>154</v>
      </c>
      <c r="Y111">
        <f>MID(U111,9,SEARCH("T",U111,1)-14)*1</f>
        <v>2000</v>
      </c>
    </row>
    <row r="112" spans="1:25" x14ac:dyDescent="0.3">
      <c r="J112" s="23" t="str">
        <f>IF((COUNTIF(A108:A112,"Commercial Load (Bulk)")&gt;0),"0.9",IF(COUNTIF(A108:A112,"Industrial Load (Bulk)")&gt;0,"0.9",""))</f>
        <v>0.9</v>
      </c>
      <c r="R112" s="2"/>
      <c r="S112" s="21"/>
    </row>
    <row r="113" spans="1:45" x14ac:dyDescent="0.3">
      <c r="R113" s="2"/>
      <c r="S113" s="21"/>
    </row>
    <row r="114" spans="1:45" x14ac:dyDescent="0.3">
      <c r="A114" s="3" t="s">
        <v>41</v>
      </c>
      <c r="R114" s="2"/>
      <c r="S114" s="21"/>
    </row>
    <row r="115" spans="1:45" ht="15" thickBot="1" x14ac:dyDescent="0.35">
      <c r="R115" s="2" t="s">
        <v>76</v>
      </c>
      <c r="S115" s="25" t="s">
        <v>77</v>
      </c>
    </row>
    <row r="116" spans="1:45" ht="15" thickBot="1" x14ac:dyDescent="0.35">
      <c r="A116" s="5" t="s">
        <v>1</v>
      </c>
      <c r="B116" s="1" t="s">
        <v>2</v>
      </c>
      <c r="C116" s="1" t="s">
        <v>3</v>
      </c>
      <c r="D116" s="1" t="s">
        <v>4</v>
      </c>
      <c r="E116" s="1" t="s">
        <v>5</v>
      </c>
      <c r="F116" s="15" t="s">
        <v>6</v>
      </c>
      <c r="H116" t="s">
        <v>72</v>
      </c>
      <c r="I116" s="2" t="s">
        <v>73</v>
      </c>
      <c r="J116" s="13" t="str">
        <f>TRUNC(SUMIF(A116:A120,"Residential Load",F116:F120),3)&amp;"(0.6)"</f>
        <v>276(0.6)</v>
      </c>
      <c r="K116" s="2" t="s">
        <v>74</v>
      </c>
      <c r="L116" s="13" t="str">
        <f>TRUNC(SUMIF(A116:A120,"Commercial Load",F116:F120),3)&amp;"(0.7)"</f>
        <v>149.5(0.7)</v>
      </c>
      <c r="M116" s="2" t="s">
        <v>74</v>
      </c>
      <c r="N116" s="13" t="str">
        <f>TRUNC(SUMIF(A116:A120,"Industrial Load",F116:F120),3)&amp;"(0.65)"</f>
        <v>0(0.65)</v>
      </c>
      <c r="O116" s="2" t="str">
        <f>"="</f>
        <v>=</v>
      </c>
      <c r="P116" s="20">
        <f>((SUMIF(A116:A120,"Residential Load",F116:F120)*MID(J116,LEN(J116)-3,3))/J117)+((SUMIF(A116:A120,"Commercial Load",F116:F120)*MID(L116,LEN(L116)-3,3))/L117)+((SUMIF(A116:A120,"Industrial Load",F116:F120)*MID(N116,LEN(N116)-3,3))/N117)</f>
        <v>154.4780821917808</v>
      </c>
      <c r="Q116" s="22" t="s">
        <v>75</v>
      </c>
      <c r="R116" s="2">
        <v>0.9</v>
      </c>
      <c r="S116" s="21">
        <f>P116/R116</f>
        <v>171.64231354642311</v>
      </c>
      <c r="U116" s="12" t="s">
        <v>97</v>
      </c>
      <c r="Y116">
        <f>MID(U116,9,SEARCH("T",U116,1)-14)*1</f>
        <v>225</v>
      </c>
    </row>
    <row r="117" spans="1:45" x14ac:dyDescent="0.3">
      <c r="A117" s="4" t="s">
        <v>7</v>
      </c>
      <c r="B117" s="2">
        <v>80</v>
      </c>
      <c r="C117" s="2">
        <v>15</v>
      </c>
      <c r="D117" s="2">
        <v>1</v>
      </c>
      <c r="E117" s="2">
        <v>230</v>
      </c>
      <c r="F117" s="14">
        <f>Table161836[[#This Row],[NO. OF ESTABLISHMENTS]]*Table161836[[#This Row],[ESTIMATED AVERAGE AMPACITY]]*Table161836[[#This Row],[VOLTAGE]]/1000</f>
        <v>276</v>
      </c>
      <c r="J117" s="2">
        <v>2</v>
      </c>
      <c r="L117" s="2">
        <v>1.46</v>
      </c>
      <c r="N117" s="2">
        <v>0.86</v>
      </c>
      <c r="R117" s="2"/>
      <c r="S117" s="25"/>
    </row>
    <row r="118" spans="1:45" x14ac:dyDescent="0.3">
      <c r="A118" s="4" t="s">
        <v>8</v>
      </c>
      <c r="B118" s="2">
        <v>10</v>
      </c>
      <c r="C118" s="2">
        <v>65</v>
      </c>
      <c r="D118" s="2">
        <v>1</v>
      </c>
      <c r="E118" s="2">
        <v>230</v>
      </c>
      <c r="F118" s="14">
        <f>Table161836[[#This Row],[NO. OF ESTABLISHMENTS]]*Table161836[[#This Row],[ESTIMATED AVERAGE AMPACITY]]*Table161836[[#This Row],[VOLTAGE]]/1000</f>
        <v>149.5</v>
      </c>
      <c r="R118" s="2"/>
      <c r="S118" s="21"/>
    </row>
    <row r="119" spans="1:45" x14ac:dyDescent="0.3">
      <c r="A119" s="4" t="s">
        <v>9</v>
      </c>
      <c r="B119" s="2">
        <v>0</v>
      </c>
      <c r="C119" s="2">
        <v>0</v>
      </c>
      <c r="D119" s="2">
        <v>0</v>
      </c>
      <c r="E119" s="2">
        <v>0</v>
      </c>
      <c r="F119" s="14">
        <v>0</v>
      </c>
      <c r="H119" t="s">
        <v>79</v>
      </c>
      <c r="I119" s="2" t="str">
        <f>"="</f>
        <v>=</v>
      </c>
      <c r="J119" s="2" t="str">
        <f>IF((COUNTIF(A116:A120,"Commercial Load (Bulk)")&gt;0),TRUNC(LOOKUP("Commercial Load (Bulk)",A116:A120,F116:F120))&amp;"(0.7)",IF(COUNTIF(A116:A120,"Industrial Load (Bulk)")&gt;0,TRUNC(LOOKUP("Industrial Load (Bulk)",A116:A120,F116:F120))&amp;"(0.7)",""))</f>
        <v/>
      </c>
      <c r="P119" s="24" t="str">
        <f>IF((COUNTIF(A116:A120,"Commercial Load (Bulk)")&gt;0),(LOOKUP("Commercial Load (Bulk)",A116:A120,F116:F120)*MID(J119,LEN(J119)-3,3))/J120,IF(COUNTIF(A116:A120,"Industrial Load (Bulk)")&gt;0,(LOOKUP("Industrial Load (Bulk)",A116:A120,F116:F120)*MID(J119,LEN(J119)-3,3))/J120,""))</f>
        <v/>
      </c>
      <c r="R119" s="2"/>
      <c r="S119" s="21" t="str">
        <f>IF(ISBLANK(R119),"",P119/R119)</f>
        <v/>
      </c>
    </row>
    <row r="120" spans="1:45" x14ac:dyDescent="0.3">
      <c r="J120" s="23" t="str">
        <f>IF((COUNTIF(A116:A120,"Commercial Load (Bulk)")&gt;0),"0.9",IF(COUNTIF(A116:A120,"Industrial Load (Bulk)")&gt;0,"0.9",""))</f>
        <v/>
      </c>
      <c r="R120" s="2"/>
      <c r="S120" s="21"/>
      <c r="Z120"/>
      <c r="AA120"/>
      <c r="AB120"/>
      <c r="AC120"/>
      <c r="AD120"/>
      <c r="AE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</row>
    <row r="121" spans="1:45" x14ac:dyDescent="0.3">
      <c r="R121" s="2"/>
      <c r="S121" s="21"/>
      <c r="Z121"/>
      <c r="AA121"/>
      <c r="AB121"/>
      <c r="AC121"/>
      <c r="AD121"/>
      <c r="AE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</row>
    <row r="122" spans="1:45" x14ac:dyDescent="0.3">
      <c r="A122" s="3"/>
      <c r="R122" s="2"/>
      <c r="S122" s="21"/>
      <c r="Z122"/>
      <c r="AA122"/>
      <c r="AB122"/>
      <c r="AC122"/>
      <c r="AD122"/>
      <c r="AE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</row>
    <row r="123" spans="1:45" x14ac:dyDescent="0.3">
      <c r="R123" s="2"/>
      <c r="S123" s="21"/>
      <c r="Z123"/>
      <c r="AA123"/>
      <c r="AB123"/>
      <c r="AC123"/>
      <c r="AD123"/>
      <c r="AE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</row>
    <row r="124" spans="1:45" x14ac:dyDescent="0.3">
      <c r="A124" s="5"/>
      <c r="B124" s="1"/>
      <c r="C124" s="1"/>
      <c r="D124" s="1"/>
      <c r="E124" s="1"/>
      <c r="F124" s="15"/>
      <c r="R124" s="2"/>
      <c r="S124" s="21"/>
      <c r="Z124"/>
      <c r="AA124"/>
      <c r="AB124"/>
      <c r="AC124"/>
      <c r="AD124"/>
      <c r="AE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</row>
    <row r="125" spans="1:45" x14ac:dyDescent="0.3">
      <c r="F125"/>
      <c r="R125" s="2"/>
      <c r="S125" s="25"/>
      <c r="Z125"/>
      <c r="AA125"/>
      <c r="AB125"/>
      <c r="AC125"/>
      <c r="AD125"/>
      <c r="AE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</row>
    <row r="126" spans="1:45" x14ac:dyDescent="0.3">
      <c r="F126"/>
      <c r="R126" s="2"/>
      <c r="S126" s="21"/>
      <c r="Z126"/>
      <c r="AA126"/>
      <c r="AB126"/>
      <c r="AC126"/>
      <c r="AD126"/>
      <c r="AE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</row>
    <row r="127" spans="1:45" x14ac:dyDescent="0.3">
      <c r="F127"/>
      <c r="R127" s="2"/>
      <c r="S127" s="21"/>
      <c r="Z127"/>
      <c r="AA127"/>
      <c r="AB127"/>
      <c r="AC127"/>
      <c r="AD127"/>
      <c r="AE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</row>
    <row r="128" spans="1:45" x14ac:dyDescent="0.3">
      <c r="F128"/>
      <c r="R128" s="2"/>
      <c r="S128" s="21"/>
      <c r="Z128"/>
      <c r="AA128"/>
      <c r="AB128"/>
      <c r="AC128"/>
      <c r="AD128"/>
      <c r="AE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</row>
    <row r="129" spans="1:45" x14ac:dyDescent="0.3">
      <c r="F129"/>
      <c r="R129" s="2"/>
      <c r="S129" s="21"/>
      <c r="Z129"/>
      <c r="AA129"/>
      <c r="AB129"/>
      <c r="AC129"/>
      <c r="AD129"/>
      <c r="AE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</row>
    <row r="130" spans="1:45" x14ac:dyDescent="0.3">
      <c r="A130" s="3"/>
      <c r="F130"/>
      <c r="R130" s="2"/>
      <c r="S130" s="21"/>
      <c r="Z130"/>
      <c r="AA130"/>
      <c r="AB130"/>
      <c r="AC130"/>
      <c r="AD130"/>
      <c r="AE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</row>
    <row r="131" spans="1:45" x14ac:dyDescent="0.3">
      <c r="F131"/>
      <c r="R131" s="2"/>
      <c r="S131" s="21"/>
      <c r="Z131"/>
      <c r="AA131"/>
      <c r="AB131"/>
      <c r="AC131"/>
      <c r="AD131"/>
      <c r="AE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</row>
    <row r="132" spans="1:45" x14ac:dyDescent="0.3">
      <c r="A132" s="5"/>
      <c r="B132" s="1"/>
      <c r="C132" s="1"/>
      <c r="D132" s="1"/>
      <c r="E132" s="1"/>
      <c r="F132"/>
      <c r="R132" s="2"/>
      <c r="S132" s="21"/>
      <c r="Z132"/>
      <c r="AA132"/>
      <c r="AB132"/>
      <c r="AC132"/>
      <c r="AD132"/>
      <c r="AE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</row>
    <row r="133" spans="1:45" x14ac:dyDescent="0.3">
      <c r="F133"/>
      <c r="R133" s="2"/>
      <c r="S133" s="25"/>
      <c r="Z133"/>
      <c r="AA133"/>
      <c r="AB133"/>
      <c r="AC133"/>
      <c r="AD133"/>
      <c r="AE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</row>
    <row r="134" spans="1:45" x14ac:dyDescent="0.3">
      <c r="F134"/>
      <c r="R134" s="2"/>
      <c r="S134" s="21"/>
      <c r="Z134"/>
      <c r="AA134"/>
      <c r="AB134"/>
      <c r="AC134"/>
      <c r="AD134"/>
      <c r="AE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</row>
    <row r="135" spans="1:45" x14ac:dyDescent="0.3">
      <c r="F135"/>
      <c r="R135" s="2"/>
      <c r="S135" s="21"/>
      <c r="Z135"/>
      <c r="AA135"/>
      <c r="AB135"/>
      <c r="AC135"/>
      <c r="AD135"/>
      <c r="AE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</row>
    <row r="136" spans="1:45" x14ac:dyDescent="0.3">
      <c r="F136"/>
      <c r="R136" s="2"/>
      <c r="S136" s="21"/>
      <c r="Z136"/>
      <c r="AA136"/>
      <c r="AB136"/>
      <c r="AC136"/>
      <c r="AD136"/>
      <c r="AE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</row>
    <row r="137" spans="1:45" x14ac:dyDescent="0.3">
      <c r="F137"/>
      <c r="R137" s="2"/>
      <c r="S137" s="21"/>
      <c r="Z137"/>
      <c r="AA137"/>
      <c r="AB137"/>
      <c r="AC137"/>
      <c r="AD137"/>
      <c r="AE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</row>
    <row r="138" spans="1:45" x14ac:dyDescent="0.3">
      <c r="A138" s="3"/>
      <c r="F138"/>
      <c r="R138" s="2"/>
      <c r="S138" s="21"/>
      <c r="Z138"/>
      <c r="AA138"/>
      <c r="AB138"/>
      <c r="AC138"/>
      <c r="AD138"/>
      <c r="AE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</row>
    <row r="139" spans="1:45" x14ac:dyDescent="0.3">
      <c r="F139"/>
      <c r="R139" s="2"/>
      <c r="S139" s="21"/>
      <c r="Z139"/>
      <c r="AA139"/>
      <c r="AB139"/>
      <c r="AC139"/>
      <c r="AD139"/>
      <c r="AE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</row>
    <row r="140" spans="1:45" x14ac:dyDescent="0.3">
      <c r="A140" s="5"/>
      <c r="B140" s="1"/>
      <c r="C140" s="1"/>
      <c r="D140" s="1"/>
      <c r="E140" s="1"/>
      <c r="F140"/>
      <c r="R140" s="2"/>
      <c r="S140" s="21"/>
      <c r="Z140"/>
      <c r="AA140"/>
      <c r="AB140"/>
      <c r="AC140"/>
      <c r="AD140"/>
      <c r="AE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</row>
    <row r="141" spans="1:45" x14ac:dyDescent="0.3">
      <c r="F141"/>
      <c r="R141" s="2"/>
      <c r="S141" s="25"/>
      <c r="Z141"/>
      <c r="AA141"/>
      <c r="AB141"/>
      <c r="AC141"/>
      <c r="AD141"/>
      <c r="AE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</row>
    <row r="142" spans="1:45" x14ac:dyDescent="0.3">
      <c r="F142"/>
      <c r="R142" s="2"/>
      <c r="S142" s="21"/>
      <c r="Z142"/>
      <c r="AA142"/>
      <c r="AB142"/>
      <c r="AC142"/>
      <c r="AD142"/>
      <c r="AE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</row>
    <row r="143" spans="1:45" x14ac:dyDescent="0.3">
      <c r="F143"/>
      <c r="R143" s="2"/>
      <c r="S143" s="21"/>
      <c r="Z143"/>
      <c r="AA143"/>
      <c r="AB143"/>
      <c r="AC143"/>
      <c r="AD143"/>
      <c r="AE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</row>
    <row r="144" spans="1:45" x14ac:dyDescent="0.3">
      <c r="F144"/>
      <c r="R144" s="2"/>
      <c r="S144" s="21"/>
      <c r="Z144"/>
      <c r="AA144"/>
      <c r="AB144"/>
      <c r="AC144"/>
      <c r="AD144"/>
      <c r="AE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</row>
    <row r="145" spans="6:45" x14ac:dyDescent="0.3">
      <c r="F145"/>
      <c r="R145" s="2"/>
      <c r="S145" s="21"/>
      <c r="Z145"/>
      <c r="AA145"/>
      <c r="AB145"/>
      <c r="AC145"/>
      <c r="AD145"/>
      <c r="AE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</row>
    <row r="146" spans="6:45" x14ac:dyDescent="0.3">
      <c r="F146"/>
      <c r="Z146"/>
      <c r="AA146"/>
      <c r="AB146"/>
      <c r="AC146"/>
      <c r="AD146"/>
      <c r="AE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</row>
    <row r="147" spans="6:45" x14ac:dyDescent="0.3">
      <c r="Z147"/>
      <c r="AA147"/>
      <c r="AB147"/>
      <c r="AC147"/>
      <c r="AD147"/>
      <c r="AE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</row>
    <row r="148" spans="6:45" x14ac:dyDescent="0.3">
      <c r="Z148"/>
      <c r="AA148"/>
      <c r="AB148"/>
      <c r="AC148"/>
      <c r="AD148"/>
      <c r="AE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</row>
    <row r="149" spans="6:45" x14ac:dyDescent="0.3">
      <c r="Z149"/>
      <c r="AA149"/>
      <c r="AB149"/>
      <c r="AC149"/>
      <c r="AD149"/>
      <c r="AE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</row>
    <row r="150" spans="6:45" x14ac:dyDescent="0.3">
      <c r="Z150"/>
      <c r="AA150"/>
      <c r="AB150"/>
      <c r="AC150"/>
      <c r="AD150"/>
      <c r="AE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</row>
    <row r="151" spans="6:45" x14ac:dyDescent="0.3">
      <c r="Z151"/>
      <c r="AA151"/>
      <c r="AB151"/>
      <c r="AC151"/>
      <c r="AD151"/>
      <c r="AE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</row>
    <row r="152" spans="6:45" x14ac:dyDescent="0.3">
      <c r="Z152"/>
      <c r="AA152"/>
      <c r="AB152"/>
      <c r="AC152"/>
      <c r="AD152"/>
      <c r="AE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</row>
    <row r="153" spans="6:45" x14ac:dyDescent="0.3">
      <c r="Z153"/>
      <c r="AA153"/>
      <c r="AB153"/>
      <c r="AC153"/>
      <c r="AD153"/>
      <c r="AE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</row>
    <row r="154" spans="6:45" x14ac:dyDescent="0.3">
      <c r="Z154"/>
      <c r="AA154"/>
      <c r="AB154"/>
      <c r="AC154"/>
      <c r="AD154"/>
      <c r="AE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</row>
    <row r="155" spans="6:45" x14ac:dyDescent="0.3">
      <c r="Z155"/>
      <c r="AA155"/>
      <c r="AB155"/>
      <c r="AC155"/>
      <c r="AD155"/>
      <c r="AE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</row>
    <row r="156" spans="6:45" x14ac:dyDescent="0.3">
      <c r="Z156"/>
      <c r="AA156"/>
      <c r="AB156"/>
      <c r="AC156"/>
      <c r="AD156"/>
      <c r="AE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</row>
    <row r="157" spans="6:45" x14ac:dyDescent="0.3">
      <c r="Z157"/>
      <c r="AA157"/>
      <c r="AB157"/>
      <c r="AC157"/>
      <c r="AD157"/>
      <c r="AE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</row>
    <row r="158" spans="6:45" x14ac:dyDescent="0.3">
      <c r="Z158"/>
      <c r="AA158"/>
      <c r="AB158"/>
      <c r="AC158"/>
      <c r="AD158"/>
      <c r="AE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</row>
    <row r="159" spans="6:45" x14ac:dyDescent="0.3">
      <c r="Z159"/>
      <c r="AA159"/>
      <c r="AB159"/>
      <c r="AC159"/>
      <c r="AD159"/>
      <c r="AE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</row>
    <row r="160" spans="6:45" x14ac:dyDescent="0.3">
      <c r="Z160"/>
      <c r="AA160"/>
      <c r="AB160"/>
      <c r="AC160"/>
      <c r="AD160"/>
      <c r="AE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</row>
    <row r="161" spans="26:45" x14ac:dyDescent="0.3">
      <c r="Z161"/>
      <c r="AA161"/>
      <c r="AB161"/>
      <c r="AC161"/>
      <c r="AD161"/>
      <c r="AE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</row>
    <row r="162" spans="26:45" x14ac:dyDescent="0.3">
      <c r="Z162"/>
      <c r="AA162"/>
      <c r="AB162"/>
      <c r="AC162"/>
      <c r="AD162"/>
      <c r="AE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</row>
    <row r="163" spans="26:45" x14ac:dyDescent="0.3">
      <c r="Z163"/>
      <c r="AA163"/>
      <c r="AB163"/>
      <c r="AC163"/>
      <c r="AD163"/>
      <c r="AE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</row>
    <row r="164" spans="26:45" x14ac:dyDescent="0.3">
      <c r="Z164"/>
      <c r="AA164"/>
      <c r="AB164"/>
      <c r="AC164"/>
      <c r="AD164"/>
      <c r="AE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</row>
    <row r="165" spans="26:45" x14ac:dyDescent="0.3">
      <c r="Z165"/>
      <c r="AA165"/>
      <c r="AB165"/>
      <c r="AC165"/>
      <c r="AD165"/>
      <c r="AE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</row>
    <row r="166" spans="26:45" x14ac:dyDescent="0.3">
      <c r="Z166"/>
      <c r="AA166"/>
      <c r="AB166"/>
      <c r="AC166"/>
      <c r="AD166"/>
      <c r="AE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</row>
    <row r="167" spans="26:45" x14ac:dyDescent="0.3">
      <c r="Z167"/>
      <c r="AA167"/>
      <c r="AB167"/>
      <c r="AC167"/>
      <c r="AD167"/>
      <c r="AE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</row>
    <row r="168" spans="26:45" x14ac:dyDescent="0.3">
      <c r="Z168"/>
      <c r="AA168"/>
      <c r="AB168"/>
      <c r="AC168"/>
      <c r="AD168"/>
      <c r="AE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</row>
    <row r="169" spans="26:45" x14ac:dyDescent="0.3">
      <c r="Z169"/>
      <c r="AA169"/>
      <c r="AB169"/>
      <c r="AC169"/>
      <c r="AD169"/>
      <c r="AE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</row>
    <row r="170" spans="26:45" x14ac:dyDescent="0.3">
      <c r="Z170"/>
      <c r="AA170"/>
      <c r="AB170"/>
      <c r="AC170"/>
      <c r="AD170"/>
      <c r="AE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</row>
    <row r="171" spans="26:45" x14ac:dyDescent="0.3">
      <c r="Z171"/>
      <c r="AA171"/>
      <c r="AB171"/>
      <c r="AC171"/>
      <c r="AD171"/>
      <c r="AE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</row>
    <row r="172" spans="26:45" x14ac:dyDescent="0.3">
      <c r="Z172"/>
      <c r="AA172"/>
      <c r="AB172"/>
      <c r="AC172"/>
      <c r="AD172"/>
      <c r="AE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</row>
    <row r="173" spans="26:45" x14ac:dyDescent="0.3">
      <c r="Z173"/>
      <c r="AA173"/>
      <c r="AB173"/>
      <c r="AC173"/>
      <c r="AD173"/>
      <c r="AE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</row>
    <row r="174" spans="26:45" x14ac:dyDescent="0.3">
      <c r="Z174"/>
      <c r="AA174"/>
      <c r="AB174"/>
      <c r="AC174"/>
      <c r="AD174"/>
      <c r="AE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</row>
    <row r="175" spans="26:45" x14ac:dyDescent="0.3">
      <c r="Z175"/>
      <c r="AA175"/>
      <c r="AB175"/>
      <c r="AC175"/>
      <c r="AD175"/>
      <c r="AE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</row>
    <row r="176" spans="26:45" x14ac:dyDescent="0.3">
      <c r="Z176"/>
      <c r="AA176"/>
      <c r="AB176"/>
      <c r="AC176"/>
      <c r="AD176"/>
      <c r="AE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</row>
    <row r="177" spans="26:45" x14ac:dyDescent="0.3">
      <c r="Z177"/>
      <c r="AA177"/>
      <c r="AB177"/>
      <c r="AC177"/>
      <c r="AD177"/>
      <c r="AE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</row>
    <row r="178" spans="26:45" x14ac:dyDescent="0.3">
      <c r="Z178"/>
      <c r="AA178"/>
      <c r="AB178"/>
      <c r="AC178"/>
      <c r="AD178"/>
      <c r="AE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</row>
    <row r="179" spans="26:45" x14ac:dyDescent="0.3">
      <c r="Z179"/>
      <c r="AA179"/>
      <c r="AB179"/>
      <c r="AC179"/>
      <c r="AD179"/>
      <c r="AE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</row>
    <row r="180" spans="26:45" x14ac:dyDescent="0.3">
      <c r="Z180"/>
      <c r="AA180"/>
      <c r="AB180"/>
      <c r="AC180"/>
      <c r="AD180"/>
      <c r="AE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</row>
    <row r="181" spans="26:45" x14ac:dyDescent="0.3">
      <c r="Z181"/>
      <c r="AA181"/>
      <c r="AB181"/>
      <c r="AC181"/>
      <c r="AD181"/>
      <c r="AE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</row>
    <row r="182" spans="26:45" x14ac:dyDescent="0.3">
      <c r="Z182"/>
      <c r="AA182"/>
      <c r="AB182"/>
      <c r="AC182"/>
      <c r="AD182"/>
      <c r="AE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</row>
    <row r="183" spans="26:45" x14ac:dyDescent="0.3">
      <c r="Z183"/>
      <c r="AA183"/>
      <c r="AB183"/>
      <c r="AC183"/>
      <c r="AD183"/>
      <c r="AE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</row>
    <row r="184" spans="26:45" x14ac:dyDescent="0.3">
      <c r="Z184"/>
      <c r="AA184"/>
      <c r="AB184"/>
      <c r="AC184"/>
      <c r="AD184"/>
      <c r="AE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</row>
    <row r="185" spans="26:45" x14ac:dyDescent="0.3">
      <c r="Z185"/>
      <c r="AA185"/>
      <c r="AB185"/>
      <c r="AC185"/>
      <c r="AD185"/>
      <c r="AE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</row>
    <row r="186" spans="26:45" x14ac:dyDescent="0.3">
      <c r="Z186"/>
      <c r="AA186"/>
      <c r="AB186"/>
      <c r="AC186"/>
      <c r="AD186"/>
      <c r="AE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</row>
    <row r="187" spans="26:45" x14ac:dyDescent="0.3">
      <c r="Z187"/>
      <c r="AA187"/>
      <c r="AB187"/>
      <c r="AC187"/>
      <c r="AD187"/>
      <c r="AE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</row>
    <row r="188" spans="26:45" x14ac:dyDescent="0.3">
      <c r="Z188"/>
      <c r="AA188"/>
      <c r="AB188"/>
      <c r="AC188"/>
      <c r="AD188"/>
      <c r="AE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</row>
    <row r="189" spans="26:45" x14ac:dyDescent="0.3">
      <c r="Z189"/>
      <c r="AA189"/>
      <c r="AB189"/>
      <c r="AC189"/>
      <c r="AD189"/>
      <c r="AE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</row>
    <row r="190" spans="26:45" x14ac:dyDescent="0.3">
      <c r="Z190"/>
      <c r="AA190"/>
      <c r="AB190"/>
      <c r="AC190"/>
      <c r="AD190"/>
      <c r="AE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</row>
    <row r="191" spans="26:45" x14ac:dyDescent="0.3">
      <c r="Z191"/>
      <c r="AA191"/>
      <c r="AB191"/>
      <c r="AC191"/>
      <c r="AD191"/>
      <c r="AE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</row>
    <row r="192" spans="26:45" x14ac:dyDescent="0.3">
      <c r="Z192"/>
      <c r="AA192"/>
      <c r="AB192"/>
      <c r="AC192"/>
      <c r="AD192"/>
      <c r="AE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</row>
    <row r="193" spans="26:45" x14ac:dyDescent="0.3">
      <c r="Z193"/>
      <c r="AA193"/>
      <c r="AB193"/>
      <c r="AC193"/>
      <c r="AD193"/>
      <c r="AE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</row>
    <row r="194" spans="26:45" x14ac:dyDescent="0.3">
      <c r="Z194"/>
      <c r="AA194"/>
      <c r="AB194"/>
      <c r="AC194"/>
      <c r="AD194"/>
      <c r="AE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</row>
    <row r="195" spans="26:45" x14ac:dyDescent="0.3">
      <c r="Z195"/>
      <c r="AA195"/>
      <c r="AB195"/>
      <c r="AC195"/>
      <c r="AD195"/>
      <c r="AE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</row>
    <row r="196" spans="26:45" x14ac:dyDescent="0.3">
      <c r="Z196"/>
      <c r="AA196"/>
      <c r="AB196"/>
      <c r="AC196"/>
      <c r="AD196"/>
      <c r="AE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</row>
    <row r="197" spans="26:45" x14ac:dyDescent="0.3">
      <c r="Z197"/>
      <c r="AA197"/>
      <c r="AB197"/>
      <c r="AC197"/>
      <c r="AD197"/>
      <c r="AE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</row>
    <row r="198" spans="26:45" x14ac:dyDescent="0.3">
      <c r="Z198"/>
      <c r="AA198"/>
      <c r="AB198"/>
      <c r="AC198"/>
      <c r="AD198"/>
      <c r="AE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</row>
    <row r="199" spans="26:45" x14ac:dyDescent="0.3">
      <c r="Z199"/>
      <c r="AA199"/>
      <c r="AB199"/>
      <c r="AC199"/>
      <c r="AD199"/>
      <c r="AE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</row>
    <row r="200" spans="26:45" x14ac:dyDescent="0.3">
      <c r="Z200"/>
      <c r="AA200"/>
      <c r="AB200"/>
      <c r="AC200"/>
      <c r="AD200"/>
      <c r="AE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</row>
    <row r="201" spans="26:45" x14ac:dyDescent="0.3">
      <c r="Z201"/>
      <c r="AA201"/>
      <c r="AB201"/>
      <c r="AC201"/>
      <c r="AD201"/>
      <c r="AE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</row>
    <row r="202" spans="26:45" x14ac:dyDescent="0.3">
      <c r="Z202"/>
      <c r="AA202"/>
      <c r="AB202"/>
      <c r="AC202"/>
      <c r="AD202"/>
      <c r="AE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</row>
    <row r="203" spans="26:45" x14ac:dyDescent="0.3">
      <c r="Z203"/>
      <c r="AA203"/>
      <c r="AB203"/>
      <c r="AC203"/>
      <c r="AD203"/>
      <c r="AE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</row>
    <row r="204" spans="26:45" x14ac:dyDescent="0.3">
      <c r="Z204"/>
      <c r="AA204"/>
      <c r="AB204"/>
      <c r="AC204"/>
      <c r="AD204"/>
      <c r="AE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</row>
    <row r="205" spans="26:45" x14ac:dyDescent="0.3">
      <c r="Z205"/>
      <c r="AA205"/>
      <c r="AB205"/>
      <c r="AC205"/>
      <c r="AD205"/>
      <c r="AE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</row>
    <row r="206" spans="26:45" x14ac:dyDescent="0.3">
      <c r="Z206"/>
      <c r="AA206"/>
      <c r="AB206"/>
      <c r="AC206"/>
      <c r="AD206"/>
      <c r="AE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</row>
    <row r="207" spans="26:45" x14ac:dyDescent="0.3">
      <c r="Z207"/>
      <c r="AA207"/>
      <c r="AB207"/>
      <c r="AC207"/>
      <c r="AD207"/>
      <c r="AE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</row>
    <row r="208" spans="26:45" x14ac:dyDescent="0.3">
      <c r="Z208"/>
      <c r="AA208"/>
      <c r="AB208"/>
      <c r="AC208"/>
      <c r="AD208"/>
      <c r="AE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</row>
    <row r="209" spans="26:45" x14ac:dyDescent="0.3">
      <c r="Z209"/>
      <c r="AA209"/>
      <c r="AB209"/>
      <c r="AC209"/>
      <c r="AD209"/>
      <c r="AE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26:45" x14ac:dyDescent="0.3">
      <c r="Z210"/>
      <c r="AA210"/>
      <c r="AB210"/>
      <c r="AC210"/>
      <c r="AD210"/>
      <c r="AE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26:45" x14ac:dyDescent="0.3">
      <c r="Z211"/>
      <c r="AA211"/>
      <c r="AB211"/>
      <c r="AC211"/>
      <c r="AD211"/>
      <c r="AE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26:45" x14ac:dyDescent="0.3">
      <c r="Z212"/>
      <c r="AA212"/>
      <c r="AB212"/>
      <c r="AC212"/>
      <c r="AD212"/>
      <c r="AE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26:45" x14ac:dyDescent="0.3">
      <c r="Z213"/>
      <c r="AA213"/>
      <c r="AB213"/>
      <c r="AC213"/>
      <c r="AD213"/>
      <c r="AE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26:45" x14ac:dyDescent="0.3">
      <c r="Z214"/>
      <c r="AA214"/>
      <c r="AB214"/>
      <c r="AC214"/>
      <c r="AD214"/>
      <c r="AE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26:45" x14ac:dyDescent="0.3">
      <c r="Z215"/>
      <c r="AA215"/>
      <c r="AB215"/>
      <c r="AC215"/>
      <c r="AD215"/>
      <c r="AE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26:45" x14ac:dyDescent="0.3">
      <c r="Z216"/>
      <c r="AA216"/>
      <c r="AB216"/>
      <c r="AC216"/>
      <c r="AD216"/>
      <c r="AE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26:45" x14ac:dyDescent="0.3">
      <c r="Z217"/>
      <c r="AA217"/>
      <c r="AB217"/>
      <c r="AC217"/>
      <c r="AD217"/>
      <c r="AE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26:45" x14ac:dyDescent="0.3">
      <c r="Z218"/>
      <c r="AA218"/>
      <c r="AB218"/>
      <c r="AC218"/>
      <c r="AD218"/>
      <c r="AE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26:45" x14ac:dyDescent="0.3">
      <c r="Z219"/>
      <c r="AA219"/>
      <c r="AB219"/>
      <c r="AC219"/>
      <c r="AD219"/>
      <c r="AE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26:45" x14ac:dyDescent="0.3">
      <c r="Z220"/>
      <c r="AA220"/>
      <c r="AB220"/>
      <c r="AC220"/>
      <c r="AD220"/>
      <c r="AE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26:45" x14ac:dyDescent="0.3">
      <c r="Z221"/>
      <c r="AA221"/>
      <c r="AB221"/>
      <c r="AC221"/>
      <c r="AD221"/>
      <c r="AE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26:45" x14ac:dyDescent="0.3">
      <c r="Z222"/>
      <c r="AA222"/>
      <c r="AB222"/>
      <c r="AC222"/>
      <c r="AD222"/>
      <c r="AE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</row>
    <row r="223" spans="26:45" x14ac:dyDescent="0.3">
      <c r="Z223"/>
      <c r="AA223"/>
      <c r="AB223"/>
      <c r="AC223"/>
      <c r="AD223"/>
      <c r="AE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26:45" x14ac:dyDescent="0.3">
      <c r="Z224"/>
      <c r="AA224"/>
      <c r="AB224"/>
      <c r="AC224"/>
      <c r="AD224"/>
      <c r="AE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26:45" x14ac:dyDescent="0.3">
      <c r="Z225"/>
      <c r="AA225"/>
      <c r="AB225"/>
      <c r="AC225"/>
      <c r="AD225"/>
      <c r="AE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6:45" x14ac:dyDescent="0.3">
      <c r="Z226"/>
      <c r="AA226"/>
      <c r="AB226"/>
      <c r="AC226"/>
      <c r="AD226"/>
      <c r="AE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6:45" x14ac:dyDescent="0.3">
      <c r="Z227"/>
      <c r="AA227"/>
      <c r="AB227"/>
      <c r="AC227"/>
      <c r="AD227"/>
      <c r="AE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6:45" x14ac:dyDescent="0.3">
      <c r="Z228"/>
      <c r="AA228"/>
      <c r="AB228"/>
      <c r="AC228"/>
      <c r="AD228"/>
      <c r="AE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6:45" x14ac:dyDescent="0.3">
      <c r="Z229"/>
      <c r="AA229"/>
      <c r="AB229"/>
      <c r="AC229"/>
      <c r="AD229"/>
      <c r="AE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6:45" x14ac:dyDescent="0.3">
      <c r="Z230"/>
      <c r="AA230"/>
      <c r="AB230"/>
      <c r="AC230"/>
      <c r="AD230"/>
      <c r="AE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6:45" x14ac:dyDescent="0.3">
      <c r="Z231"/>
      <c r="AA231"/>
      <c r="AB231"/>
      <c r="AC231"/>
      <c r="AD231"/>
      <c r="AE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6:45" x14ac:dyDescent="0.3">
      <c r="Z232"/>
      <c r="AA232"/>
      <c r="AB232"/>
      <c r="AC232"/>
      <c r="AD232"/>
      <c r="AE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6:45" x14ac:dyDescent="0.3">
      <c r="Z233"/>
      <c r="AA233"/>
      <c r="AB233"/>
      <c r="AC233"/>
      <c r="AD233"/>
      <c r="AE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6:45" x14ac:dyDescent="0.3">
      <c r="Z234"/>
      <c r="AA234"/>
      <c r="AB234"/>
      <c r="AC234"/>
      <c r="AD234"/>
      <c r="AE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6:45" x14ac:dyDescent="0.3">
      <c r="Z235"/>
      <c r="AA235"/>
      <c r="AB235"/>
      <c r="AC235"/>
      <c r="AD235"/>
      <c r="AE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6:45" x14ac:dyDescent="0.3">
      <c r="Z236"/>
      <c r="AA236"/>
      <c r="AB236"/>
      <c r="AC236"/>
      <c r="AD236"/>
      <c r="AE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6:45" x14ac:dyDescent="0.3">
      <c r="Z237"/>
      <c r="AA237"/>
      <c r="AB237"/>
      <c r="AC237"/>
      <c r="AD237"/>
      <c r="AE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6:45" x14ac:dyDescent="0.3">
      <c r="Z238"/>
      <c r="AA238"/>
      <c r="AB238"/>
      <c r="AC238"/>
      <c r="AD238"/>
      <c r="AE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6:45" x14ac:dyDescent="0.3">
      <c r="Z239"/>
      <c r="AA239"/>
      <c r="AB239"/>
      <c r="AC239"/>
      <c r="AD239"/>
      <c r="AE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6:45" x14ac:dyDescent="0.3">
      <c r="Z240"/>
      <c r="AA240"/>
      <c r="AB240"/>
      <c r="AC240"/>
      <c r="AD240"/>
      <c r="AE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6:45" x14ac:dyDescent="0.3">
      <c r="Z241"/>
      <c r="AA241"/>
      <c r="AB241"/>
      <c r="AC241"/>
      <c r="AD241"/>
      <c r="AE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6:45" x14ac:dyDescent="0.3">
      <c r="Z242"/>
      <c r="AA242"/>
      <c r="AB242"/>
      <c r="AC242"/>
      <c r="AD242"/>
      <c r="AE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6:45" x14ac:dyDescent="0.3">
      <c r="Z243"/>
      <c r="AA243"/>
      <c r="AB243"/>
      <c r="AC243"/>
      <c r="AD243"/>
      <c r="AE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6:45" x14ac:dyDescent="0.3">
      <c r="Z244"/>
      <c r="AA244"/>
      <c r="AB244"/>
      <c r="AC244"/>
      <c r="AD244"/>
      <c r="AE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6:45" x14ac:dyDescent="0.3">
      <c r="Z245"/>
      <c r="AA245"/>
      <c r="AB245"/>
      <c r="AC245"/>
      <c r="AD245"/>
      <c r="AE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6:45" x14ac:dyDescent="0.3">
      <c r="Z246"/>
      <c r="AA246"/>
      <c r="AB246"/>
      <c r="AC246"/>
      <c r="AD246"/>
      <c r="AE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6:45" x14ac:dyDescent="0.3">
      <c r="Z247"/>
      <c r="AA247"/>
      <c r="AB247"/>
      <c r="AC247"/>
      <c r="AD247"/>
      <c r="AE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6:45" x14ac:dyDescent="0.3">
      <c r="Z248"/>
      <c r="AA248"/>
      <c r="AB248"/>
      <c r="AC248"/>
      <c r="AD248"/>
      <c r="AE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6:45" x14ac:dyDescent="0.3">
      <c r="Z249"/>
      <c r="AA249"/>
      <c r="AB249"/>
      <c r="AC249"/>
      <c r="AD249"/>
      <c r="AE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6:45" x14ac:dyDescent="0.3">
      <c r="Z250"/>
      <c r="AA250"/>
      <c r="AB250"/>
      <c r="AC250"/>
      <c r="AD250"/>
      <c r="AE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6:45" x14ac:dyDescent="0.3">
      <c r="Z251"/>
      <c r="AA251"/>
      <c r="AB251"/>
      <c r="AC251"/>
      <c r="AD251"/>
      <c r="AE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6:45" x14ac:dyDescent="0.3">
      <c r="Z252"/>
      <c r="AA252"/>
      <c r="AB252"/>
      <c r="AC252"/>
      <c r="AD252"/>
      <c r="AE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6:45" x14ac:dyDescent="0.3">
      <c r="Z253"/>
      <c r="AA253"/>
      <c r="AB253"/>
      <c r="AC253"/>
      <c r="AD253"/>
      <c r="AE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6:45" x14ac:dyDescent="0.3">
      <c r="Z254"/>
      <c r="AA254"/>
      <c r="AB254"/>
      <c r="AC254"/>
      <c r="AD254"/>
      <c r="AE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6:45" x14ac:dyDescent="0.3">
      <c r="Z255"/>
      <c r="AA255"/>
      <c r="AB255"/>
      <c r="AC255"/>
      <c r="AD255"/>
      <c r="AE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6:45" x14ac:dyDescent="0.3">
      <c r="Z256"/>
      <c r="AA256"/>
      <c r="AB256"/>
      <c r="AC256"/>
      <c r="AD256"/>
      <c r="AE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6:45" x14ac:dyDescent="0.3">
      <c r="Z257"/>
      <c r="AA257"/>
      <c r="AB257"/>
      <c r="AC257"/>
      <c r="AD257"/>
      <c r="AE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6:45" x14ac:dyDescent="0.3">
      <c r="Z258"/>
      <c r="AA258"/>
      <c r="AB258"/>
      <c r="AC258"/>
      <c r="AD258"/>
      <c r="AE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6:45" x14ac:dyDescent="0.3">
      <c r="Z259"/>
      <c r="AA259"/>
      <c r="AB259"/>
      <c r="AC259"/>
      <c r="AD259"/>
      <c r="AE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6:45" x14ac:dyDescent="0.3">
      <c r="Z260"/>
      <c r="AA260"/>
      <c r="AB260"/>
      <c r="AC260"/>
      <c r="AD260"/>
      <c r="AE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6:45" x14ac:dyDescent="0.3">
      <c r="Z261"/>
      <c r="AA261"/>
      <c r="AB261"/>
      <c r="AC261"/>
      <c r="AD261"/>
      <c r="AE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6:45" x14ac:dyDescent="0.3">
      <c r="Z262"/>
      <c r="AA262"/>
      <c r="AB262"/>
      <c r="AC262"/>
      <c r="AD262"/>
      <c r="AE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6:45" x14ac:dyDescent="0.3">
      <c r="Z263"/>
      <c r="AA263"/>
      <c r="AB263"/>
      <c r="AC263"/>
      <c r="AD263"/>
      <c r="AE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6:45" x14ac:dyDescent="0.3">
      <c r="Z264"/>
      <c r="AA264"/>
      <c r="AB264"/>
      <c r="AC264"/>
      <c r="AD264"/>
      <c r="AE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6:45" x14ac:dyDescent="0.3">
      <c r="Z265"/>
      <c r="AA265"/>
      <c r="AB265"/>
      <c r="AC265"/>
      <c r="AD265"/>
      <c r="AE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6:45" x14ac:dyDescent="0.3">
      <c r="Z266"/>
      <c r="AA266"/>
      <c r="AB266"/>
      <c r="AC266"/>
      <c r="AD266"/>
      <c r="AE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6:45" x14ac:dyDescent="0.3">
      <c r="Z267"/>
      <c r="AA267"/>
      <c r="AB267"/>
      <c r="AC267"/>
      <c r="AD267"/>
      <c r="AE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6:45" x14ac:dyDescent="0.3">
      <c r="Z268"/>
      <c r="AA268"/>
      <c r="AB268"/>
      <c r="AC268"/>
      <c r="AD268"/>
      <c r="AE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6:45" x14ac:dyDescent="0.3">
      <c r="Z269"/>
      <c r="AA269"/>
      <c r="AB269"/>
      <c r="AC269"/>
      <c r="AD269"/>
      <c r="AE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6:45" x14ac:dyDescent="0.3">
      <c r="Z270"/>
      <c r="AA270"/>
      <c r="AB270"/>
      <c r="AC270"/>
      <c r="AD270"/>
      <c r="AE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6:45" x14ac:dyDescent="0.3">
      <c r="Z271"/>
      <c r="AA271"/>
      <c r="AB271"/>
      <c r="AC271"/>
      <c r="AD271"/>
      <c r="AE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6:45" x14ac:dyDescent="0.3">
      <c r="Z272"/>
      <c r="AA272"/>
      <c r="AB272"/>
      <c r="AC272"/>
      <c r="AD272"/>
      <c r="AE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6:45" x14ac:dyDescent="0.3">
      <c r="Z273"/>
      <c r="AA273"/>
      <c r="AB273"/>
      <c r="AC273"/>
      <c r="AD273"/>
      <c r="AE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6:45" x14ac:dyDescent="0.3">
      <c r="Z274"/>
      <c r="AA274"/>
      <c r="AB274"/>
      <c r="AC274"/>
      <c r="AD274"/>
      <c r="AE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6:45" x14ac:dyDescent="0.3">
      <c r="Z275"/>
      <c r="AA275"/>
      <c r="AB275"/>
      <c r="AC275"/>
      <c r="AD275"/>
      <c r="AE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6:45" x14ac:dyDescent="0.3">
      <c r="Z276"/>
      <c r="AA276"/>
      <c r="AB276"/>
      <c r="AC276"/>
      <c r="AD276"/>
      <c r="AE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6:45" x14ac:dyDescent="0.3">
      <c r="Z277"/>
      <c r="AA277"/>
      <c r="AB277"/>
      <c r="AC277"/>
      <c r="AD277"/>
      <c r="AE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6:45" x14ac:dyDescent="0.3">
      <c r="Z278"/>
      <c r="AA278"/>
      <c r="AB278"/>
      <c r="AC278"/>
      <c r="AD278"/>
      <c r="AE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6:45" x14ac:dyDescent="0.3">
      <c r="Z279"/>
      <c r="AA279"/>
      <c r="AB279"/>
      <c r="AC279"/>
      <c r="AD279"/>
      <c r="AE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6:45" x14ac:dyDescent="0.3">
      <c r="Z280"/>
      <c r="AA280"/>
      <c r="AB280"/>
      <c r="AC280"/>
      <c r="AD280"/>
      <c r="AE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6:45" x14ac:dyDescent="0.3">
      <c r="Z281"/>
      <c r="AA281"/>
      <c r="AB281"/>
      <c r="AC281"/>
      <c r="AD281"/>
      <c r="AE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6:45" x14ac:dyDescent="0.3">
      <c r="Z282"/>
      <c r="AA282"/>
      <c r="AB282"/>
      <c r="AC282"/>
      <c r="AD282"/>
      <c r="AE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6:45" x14ac:dyDescent="0.3">
      <c r="Z283"/>
      <c r="AA283"/>
      <c r="AB283"/>
      <c r="AC283"/>
      <c r="AD283"/>
      <c r="AE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6:45" x14ac:dyDescent="0.3">
      <c r="Z284"/>
      <c r="AA284"/>
      <c r="AB284"/>
      <c r="AC284"/>
      <c r="AD284"/>
      <c r="AE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6:45" x14ac:dyDescent="0.3">
      <c r="Z285"/>
      <c r="AA285"/>
      <c r="AB285"/>
      <c r="AC285"/>
      <c r="AD285"/>
      <c r="AE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6:45" x14ac:dyDescent="0.3">
      <c r="Z286"/>
      <c r="AA286"/>
      <c r="AB286"/>
      <c r="AC286"/>
      <c r="AD286"/>
      <c r="AE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6:45" x14ac:dyDescent="0.3">
      <c r="Z287"/>
      <c r="AA287"/>
      <c r="AB287"/>
      <c r="AC287"/>
      <c r="AD287"/>
      <c r="AE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6:45" x14ac:dyDescent="0.3">
      <c r="Z288"/>
      <c r="AA288"/>
      <c r="AB288"/>
      <c r="AC288"/>
      <c r="AD288"/>
      <c r="AE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6:45" x14ac:dyDescent="0.3">
      <c r="Z289"/>
      <c r="AA289"/>
      <c r="AB289"/>
      <c r="AC289"/>
      <c r="AD289"/>
      <c r="AE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6:45" x14ac:dyDescent="0.3">
      <c r="Z290"/>
      <c r="AA290"/>
      <c r="AB290"/>
      <c r="AC290"/>
      <c r="AD290"/>
      <c r="AE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6:45" x14ac:dyDescent="0.3">
      <c r="Z291"/>
      <c r="AA291"/>
      <c r="AB291"/>
      <c r="AC291"/>
      <c r="AD291"/>
      <c r="AE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6:45" x14ac:dyDescent="0.3">
      <c r="Z292"/>
      <c r="AA292"/>
      <c r="AB292"/>
      <c r="AC292"/>
      <c r="AD292"/>
      <c r="AE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6:45" x14ac:dyDescent="0.3">
      <c r="Z293"/>
      <c r="AA293"/>
      <c r="AB293"/>
      <c r="AC293"/>
      <c r="AD293"/>
      <c r="AE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6:45" x14ac:dyDescent="0.3">
      <c r="Z294"/>
      <c r="AA294"/>
      <c r="AB294"/>
      <c r="AC294"/>
      <c r="AD294"/>
      <c r="AE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6:45" x14ac:dyDescent="0.3">
      <c r="Z295"/>
      <c r="AA295"/>
      <c r="AB295"/>
      <c r="AC295"/>
      <c r="AD295"/>
      <c r="AE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6:45" x14ac:dyDescent="0.3">
      <c r="Z296"/>
      <c r="AA296"/>
      <c r="AB296"/>
      <c r="AC296"/>
      <c r="AD296"/>
      <c r="AE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</sheetData>
  <phoneticPr fontId="6" type="noConversion"/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9DA3-73D7-4055-958A-ACE993CD8514}">
  <dimension ref="A1:AW316"/>
  <sheetViews>
    <sheetView showGridLines="0" zoomScale="55" zoomScaleNormal="55" workbookViewId="0">
      <selection sqref="A1:XFD1048576"/>
    </sheetView>
  </sheetViews>
  <sheetFormatPr defaultRowHeight="14.4" x14ac:dyDescent="0.3"/>
  <cols>
    <col min="1" max="1" width="31.77734375" bestFit="1" customWidth="1"/>
    <col min="2" max="2" width="40.109375" bestFit="1" customWidth="1"/>
    <col min="3" max="3" width="48" bestFit="1" customWidth="1"/>
    <col min="4" max="4" width="32.21875" bestFit="1" customWidth="1"/>
    <col min="5" max="5" width="20.88671875" bestFit="1" customWidth="1"/>
    <col min="6" max="6" width="23.77734375" style="16" bestFit="1" customWidth="1"/>
    <col min="8" max="8" width="44.109375" bestFit="1" customWidth="1"/>
    <col min="9" max="9" width="2.5546875" style="2" bestFit="1" customWidth="1"/>
    <col min="10" max="10" width="11" style="2" bestFit="1" customWidth="1"/>
    <col min="11" max="11" width="2.5546875" style="2" bestFit="1" customWidth="1"/>
    <col min="12" max="12" width="12.21875" style="2" bestFit="1" customWidth="1"/>
    <col min="13" max="13" width="2.5546875" style="2" bestFit="1" customWidth="1"/>
    <col min="14" max="14" width="8" style="2" bestFit="1" customWidth="1"/>
    <col min="15" max="15" width="2.5546875" style="2" bestFit="1" customWidth="1"/>
    <col min="16" max="16" width="17.44140625" style="21" bestFit="1" customWidth="1"/>
    <col min="17" max="17" width="6.21875" style="12" bestFit="1" customWidth="1"/>
    <col min="18" max="18" width="13.6640625" bestFit="1" customWidth="1"/>
    <col min="19" max="19" width="9.5546875" style="12" bestFit="1" customWidth="1"/>
    <col min="21" max="21" width="40.33203125" bestFit="1" customWidth="1"/>
    <col min="24" max="24" width="11.5546875" customWidth="1"/>
    <col min="25" max="25" width="6.21875" bestFit="1" customWidth="1"/>
    <col min="27" max="27" width="17.6640625" bestFit="1" customWidth="1"/>
    <col min="29" max="29" width="8.5546875" bestFit="1" customWidth="1"/>
    <col min="30" max="30" width="28.21875" style="2" bestFit="1" customWidth="1"/>
    <col min="31" max="31" width="34.21875" style="2" bestFit="1" customWidth="1"/>
    <col min="32" max="32" width="43.44140625" style="2" bestFit="1" customWidth="1"/>
    <col min="33" max="33" width="25.6640625" style="2" bestFit="1" customWidth="1"/>
    <col min="34" max="34" width="13.44140625" style="2" bestFit="1" customWidth="1"/>
    <col min="35" max="35" width="17.33203125" style="2" bestFit="1" customWidth="1"/>
    <col min="37" max="37" width="40.44140625" style="2" bestFit="1" customWidth="1"/>
    <col min="38" max="38" width="2.5546875" style="2" bestFit="1" customWidth="1"/>
    <col min="39" max="39" width="10.44140625" style="2" bestFit="1" customWidth="1"/>
    <col min="40" max="40" width="2.5546875" style="2" bestFit="1" customWidth="1"/>
    <col min="41" max="41" width="11.5546875" style="2" bestFit="1" customWidth="1"/>
    <col min="42" max="42" width="2.5546875" style="2" bestFit="1" customWidth="1"/>
    <col min="43" max="43" width="7.6640625" style="2" bestFit="1" customWidth="1"/>
    <col min="44" max="44" width="2.5546875" style="2" bestFit="1" customWidth="1"/>
    <col min="45" max="45" width="8.109375" style="2" bestFit="1" customWidth="1"/>
    <col min="46" max="46" width="5.33203125" style="2" bestFit="1" customWidth="1"/>
    <col min="47" max="47" width="13.6640625" style="2" bestFit="1" customWidth="1"/>
    <col min="48" max="48" width="7.33203125" style="2" bestFit="1" customWidth="1"/>
    <col min="49" max="49" width="36" style="2" bestFit="1" customWidth="1"/>
  </cols>
  <sheetData>
    <row r="1" spans="1:29" x14ac:dyDescent="0.3">
      <c r="A1" s="4"/>
      <c r="B1" s="2"/>
      <c r="C1" s="2"/>
      <c r="D1" s="2"/>
      <c r="E1" s="2"/>
      <c r="F1" s="14"/>
    </row>
    <row r="2" spans="1:29" x14ac:dyDescent="0.3">
      <c r="A2" s="3" t="s">
        <v>42</v>
      </c>
      <c r="B2" s="2"/>
      <c r="C2" s="2"/>
      <c r="D2" s="2"/>
      <c r="E2" s="2"/>
      <c r="F2" s="14"/>
    </row>
    <row r="3" spans="1:29" ht="15" thickBot="1" x14ac:dyDescent="0.35">
      <c r="A3" s="4"/>
      <c r="B3" s="2"/>
      <c r="C3" s="2"/>
      <c r="D3" s="2"/>
      <c r="E3" s="2"/>
      <c r="F3" s="14"/>
      <c r="R3" s="2" t="s">
        <v>76</v>
      </c>
      <c r="S3" s="25" t="s">
        <v>77</v>
      </c>
      <c r="U3" s="12" t="s">
        <v>87</v>
      </c>
    </row>
    <row r="4" spans="1:29" ht="29.4" thickBot="1" x14ac:dyDescent="0.35">
      <c r="A4" s="5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5" t="s">
        <v>6</v>
      </c>
      <c r="H4" t="s">
        <v>72</v>
      </c>
      <c r="I4" s="2" t="s">
        <v>73</v>
      </c>
      <c r="J4" s="13" t="str">
        <f>TRUNC(SUMIF(A4:A8,"Residential Load",F4:F8),3)&amp;"(0.6)"</f>
        <v>736(0.6)</v>
      </c>
      <c r="K4" s="2" t="s">
        <v>74</v>
      </c>
      <c r="L4" s="13" t="str">
        <f>TRUNC(SUMIF(A4:A8,"Commercial Load",F4:F8),3)&amp;"(0.7)"</f>
        <v>80.5(0.7)</v>
      </c>
      <c r="M4" s="2" t="s">
        <v>74</v>
      </c>
      <c r="N4" s="13" t="str">
        <f>TRUNC(SUMIF(A4:A8,"Industrial Load",F4:F8),3)&amp;"(0.65)"</f>
        <v>0(0.65)</v>
      </c>
      <c r="O4" s="2" t="str">
        <f>"="</f>
        <v>=</v>
      </c>
      <c r="P4" s="20">
        <f>((SUMIF(A4:A8,"Residential Load",F4:F8)*MID(J4,LEN(J4)-3,3))/J5)+((SUMIF(A4:A8,"Commercial Load",F4:F8)*MID(L4,LEN(L4)-3,3))/L5)+((SUMIF(A4:A8,"Industrial Load",F4:F8)*MID(N4,LEN(N4)-3,3))/N5)</f>
        <v>259.39589041095888</v>
      </c>
      <c r="Q4" s="22" t="s">
        <v>75</v>
      </c>
      <c r="R4" s="2">
        <v>0.9</v>
      </c>
      <c r="S4" s="21">
        <f>P4/R4</f>
        <v>288.21765601217652</v>
      </c>
      <c r="U4" s="12" t="s">
        <v>88</v>
      </c>
      <c r="Y4">
        <f>MID(U4,9,SEARCH("T",U4,1)-14)*1</f>
        <v>300</v>
      </c>
    </row>
    <row r="5" spans="1:29" x14ac:dyDescent="0.3">
      <c r="A5" s="4" t="s">
        <v>7</v>
      </c>
      <c r="B5" s="2">
        <v>160</v>
      </c>
      <c r="C5" s="2">
        <v>20</v>
      </c>
      <c r="D5" s="2">
        <v>1</v>
      </c>
      <c r="E5" s="2">
        <v>230</v>
      </c>
      <c r="F5" s="14">
        <f>Table122110[[#This Row],[NO. OF ESTABLISHMENTS]]*Table122110[[#This Row],[ESTIMATED AVERAGE AMPACITY]]*Table122110[[#This Row],[VOLTAGE]]/1000</f>
        <v>736</v>
      </c>
      <c r="J5" s="2">
        <v>2</v>
      </c>
      <c r="L5" s="2">
        <v>1.46</v>
      </c>
      <c r="N5" s="2">
        <v>0.86</v>
      </c>
      <c r="AA5" t="s">
        <v>1</v>
      </c>
    </row>
    <row r="6" spans="1:29" x14ac:dyDescent="0.3">
      <c r="A6" s="4" t="s">
        <v>8</v>
      </c>
      <c r="B6" s="2">
        <v>5</v>
      </c>
      <c r="C6" s="2">
        <v>70</v>
      </c>
      <c r="D6" s="2">
        <v>1</v>
      </c>
      <c r="E6" s="2">
        <v>230</v>
      </c>
      <c r="F6" s="14">
        <f>Table122110[[#This Row],[NO. OF ESTABLISHMENTS]]*Table122110[[#This Row],[ESTIMATED AVERAGE AMPACITY]]*Table122110[[#This Row],[VOLTAGE]]/1000</f>
        <v>80.5</v>
      </c>
      <c r="AA6" t="s">
        <v>7</v>
      </c>
      <c r="AC6">
        <f ca="1">SUMIF($A$4:$F$121,AA6,$F$4:$F$121)</f>
        <v>7820</v>
      </c>
    </row>
    <row r="7" spans="1:29" x14ac:dyDescent="0.3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14">
        <v>0</v>
      </c>
      <c r="H7" t="s">
        <v>79</v>
      </c>
      <c r="I7" s="2" t="str">
        <f>"="</f>
        <v>=</v>
      </c>
      <c r="J7" s="2" t="str">
        <f>IF((COUNTIF(A4:A8,"Commercial Load (Bulk)")&gt;0),TRUNC(LOOKUP("Commercial Load (Bulk)",A4:A8,F4:F8))&amp;"(0.7)",IF(COUNTIF(A4:A8,"Industrial Load (Bulk)")&gt;0,TRUNC(LOOKUP("Industrial Load (Bulk)",A4:A8,F4:F8))&amp;"(0.7)",""))</f>
        <v/>
      </c>
      <c r="P7" s="24" t="str">
        <f>IF((COUNTIF(A4:A8,"Commercial Load (Bulk)")&gt;0),(LOOKUP("Commercial Load (Bulk)",A4:A8,F4:F8)*MID(J7,LEN(J7)-3,3))/J8,IF(COUNTIF(A4:A8,"Industrial Load (Bulk)")&gt;0,(LOOKUP("Industrial Load (Bulk)",A4:A8,F4:F8)*MID(J7,LEN(J7)-3,3))/J8,""))</f>
        <v/>
      </c>
      <c r="R7" s="2"/>
      <c r="S7" s="21" t="str">
        <f>IF(ISBLANK(R7),"",P7/R7)</f>
        <v/>
      </c>
      <c r="AA7" t="s">
        <v>8</v>
      </c>
      <c r="AC7">
        <f t="shared" ref="AC7:AC8" ca="1" si="0">SUMIF($A$4:$F$121,AA7,$F$4:$F$121)</f>
        <v>3070.5</v>
      </c>
    </row>
    <row r="8" spans="1:29" x14ac:dyDescent="0.3">
      <c r="A8" s="4"/>
      <c r="B8" s="2"/>
      <c r="C8" s="2"/>
      <c r="D8" s="2"/>
      <c r="E8" s="2"/>
      <c r="F8" s="14"/>
      <c r="J8" s="23" t="str">
        <f>IF((COUNTIF(A4:A8,"Commercial Load (Bulk)")&gt;0),"0.9",IF(COUNTIF(A4:A8,"Industrial Load (Bulk)")&gt;0,"0.9",""))</f>
        <v/>
      </c>
      <c r="R8" s="2"/>
      <c r="S8" s="21"/>
      <c r="AA8" t="s">
        <v>9</v>
      </c>
      <c r="AC8">
        <f t="shared" ca="1" si="0"/>
        <v>0</v>
      </c>
    </row>
    <row r="9" spans="1:29" x14ac:dyDescent="0.3">
      <c r="A9" s="4"/>
      <c r="B9" s="2"/>
      <c r="C9" s="2"/>
      <c r="D9" s="2"/>
      <c r="E9" s="2"/>
      <c r="F9" s="14"/>
    </row>
    <row r="10" spans="1:29" x14ac:dyDescent="0.3">
      <c r="A10" s="3" t="s">
        <v>43</v>
      </c>
      <c r="B10" s="2"/>
      <c r="C10" s="2"/>
      <c r="D10" s="2"/>
      <c r="E10" s="2"/>
      <c r="F10" s="14"/>
    </row>
    <row r="11" spans="1:29" ht="15" thickBot="1" x14ac:dyDescent="0.35">
      <c r="A11" s="4"/>
      <c r="B11" s="2"/>
      <c r="C11" s="2"/>
      <c r="D11" s="2"/>
      <c r="E11" s="2"/>
      <c r="F11" s="14"/>
      <c r="R11" s="2" t="s">
        <v>76</v>
      </c>
      <c r="S11" s="25" t="s">
        <v>77</v>
      </c>
    </row>
    <row r="12" spans="1:29" ht="29.4" thickBot="1" x14ac:dyDescent="0.35">
      <c r="A12" s="5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5" t="s">
        <v>6</v>
      </c>
      <c r="H12" t="s">
        <v>72</v>
      </c>
      <c r="I12" s="2" t="s">
        <v>73</v>
      </c>
      <c r="J12" s="13" t="str">
        <f>TRUNC(SUMIF(A12:A16,"Residential Load",F12:F16),3)&amp;"(0.6)"</f>
        <v>805(0.6)</v>
      </c>
      <c r="K12" s="2" t="s">
        <v>74</v>
      </c>
      <c r="L12" s="13" t="str">
        <f>TRUNC(SUMIF(A12:A16,"Commercial Load",F12:F16),3)&amp;"(0.7)"</f>
        <v>172.5(0.7)</v>
      </c>
      <c r="M12" s="2" t="s">
        <v>74</v>
      </c>
      <c r="N12" s="13" t="str">
        <f>TRUNC(SUMIF(A12:A16,"Industrial Load",F12:F16),3)&amp;"(0.65)"</f>
        <v>0(0.65)</v>
      </c>
      <c r="O12" s="2" t="str">
        <f>"="</f>
        <v>=</v>
      </c>
      <c r="P12" s="20">
        <f>((SUMIF(A12:A16,"Residential Load",F12:F16)*MID(J12,LEN(J12)-3,3))/J13)+((SUMIF(A12:A16,"Commercial Load",F12:F16)*MID(L12,LEN(L12)-3,3))/L13)+((SUMIF(A12:A16,"Industrial Load",F12:F16)*MID(N12,LEN(N12)-3,3))/N13)</f>
        <v>324.20547945205476</v>
      </c>
      <c r="Q12" s="22" t="s">
        <v>75</v>
      </c>
      <c r="R12" s="2">
        <v>0.9</v>
      </c>
      <c r="S12" s="21">
        <f>P12/R12</f>
        <v>360.22831050228308</v>
      </c>
      <c r="U12" s="12" t="s">
        <v>89</v>
      </c>
      <c r="Y12">
        <f>MID(U12,9,SEARCH("T",U12,1)-14)*1</f>
        <v>450</v>
      </c>
    </row>
    <row r="13" spans="1:29" x14ac:dyDescent="0.3">
      <c r="A13" s="4" t="s">
        <v>7</v>
      </c>
      <c r="B13" s="2">
        <v>140</v>
      </c>
      <c r="C13" s="2">
        <v>25</v>
      </c>
      <c r="D13" s="2">
        <v>1</v>
      </c>
      <c r="E13" s="2">
        <v>230</v>
      </c>
      <c r="F13" s="14">
        <f>Table1523111[[#This Row],[NO. OF ESTABLISHMENTS]]*Table1523111[[#This Row],[ESTIMATED AVERAGE AMPACITY]]*Table1523111[[#This Row],[VOLTAGE]]/1000</f>
        <v>805</v>
      </c>
      <c r="J13" s="2">
        <v>2</v>
      </c>
      <c r="L13" s="2">
        <v>1.46</v>
      </c>
      <c r="N13" s="2">
        <v>0.86</v>
      </c>
    </row>
    <row r="14" spans="1:29" x14ac:dyDescent="0.3">
      <c r="A14" s="4" t="s">
        <v>8</v>
      </c>
      <c r="B14" s="2">
        <v>10</v>
      </c>
      <c r="C14" s="2">
        <v>75</v>
      </c>
      <c r="D14" s="2">
        <v>1</v>
      </c>
      <c r="E14" s="2">
        <v>230</v>
      </c>
      <c r="F14" s="14">
        <f>Table1523111[[#This Row],[NO. OF ESTABLISHMENTS]]*Table1523111[[#This Row],[ESTIMATED AVERAGE AMPACITY]]*Table1523111[[#This Row],[VOLTAGE]]/1000</f>
        <v>172.5</v>
      </c>
    </row>
    <row r="15" spans="1:29" x14ac:dyDescent="0.3">
      <c r="A15" s="4" t="s">
        <v>9</v>
      </c>
      <c r="B15" s="2">
        <v>0</v>
      </c>
      <c r="C15" s="2">
        <v>0</v>
      </c>
      <c r="D15" s="2">
        <v>0</v>
      </c>
      <c r="E15" s="2">
        <v>0</v>
      </c>
      <c r="F15" s="14">
        <v>0</v>
      </c>
      <c r="H15" t="s">
        <v>79</v>
      </c>
      <c r="I15" s="2" t="str">
        <f>"="</f>
        <v>=</v>
      </c>
      <c r="J15" s="2" t="str">
        <f>IF((COUNTIF(A12:A16,"Commercial Load (Bulk)")&gt;0),TRUNC(LOOKUP("Commercial Load (Bulk)",A12:A16,F12:F16))&amp;"(0.7)",IF(COUNTIF(A12:A16,"Industrial Load (Bulk)")&gt;0,TRUNC(LOOKUP("Industrial Load (Bulk)",A12:A16,F12:F16))&amp;"(0.7)",""))</f>
        <v/>
      </c>
      <c r="P15" s="24" t="str">
        <f>IF((COUNTIF(A12:A16,"Commercial Load (Bulk)")&gt;0),(LOOKUP("Commercial Load (Bulk)",A12:A16,F12:F16)*MID(J15,LEN(J15)-3,3))/J16,IF(COUNTIF(A12:A16,"Industrial Load (Bulk)")&gt;0,(LOOKUP("Industrial Load (Bulk)",A12:A16,F12:F16)*MID(J15,LEN(J15)-3,3))/J16,""))</f>
        <v/>
      </c>
      <c r="R15" s="2"/>
      <c r="S15" s="21" t="str">
        <f>IF(ISBLANK(R15),"",P15/R15)</f>
        <v/>
      </c>
    </row>
    <row r="16" spans="1:29" x14ac:dyDescent="0.3">
      <c r="A16" s="4"/>
      <c r="B16" s="2"/>
      <c r="C16" s="2"/>
      <c r="D16" s="2"/>
      <c r="E16" s="2"/>
      <c r="F16" s="14"/>
      <c r="J16" s="23" t="str">
        <f>IF((COUNTIF(A12:A16,"Commercial Load (Bulk)")&gt;0),"0.9",IF(COUNTIF(A12:A16,"Industrial Load (Bulk)")&gt;0,"0.9",""))</f>
        <v/>
      </c>
      <c r="R16" s="2"/>
      <c r="S16" s="21"/>
    </row>
    <row r="17" spans="1:25" x14ac:dyDescent="0.3">
      <c r="A17" s="4"/>
      <c r="B17" s="2"/>
      <c r="C17" s="2"/>
      <c r="D17" s="2"/>
      <c r="E17" s="2"/>
      <c r="F17" s="14"/>
    </row>
    <row r="18" spans="1:25" x14ac:dyDescent="0.3">
      <c r="A18" s="3" t="s">
        <v>44</v>
      </c>
      <c r="B18" s="2"/>
      <c r="C18" s="2"/>
      <c r="D18" s="2"/>
      <c r="E18" s="2"/>
      <c r="F18" s="14"/>
    </row>
    <row r="19" spans="1:25" ht="15" thickBot="1" x14ac:dyDescent="0.35">
      <c r="A19" s="4"/>
      <c r="B19" s="2"/>
      <c r="C19" s="2"/>
      <c r="D19" s="2"/>
      <c r="E19" s="2"/>
      <c r="F19" s="14"/>
      <c r="R19" s="2" t="s">
        <v>76</v>
      </c>
      <c r="S19" s="25" t="s">
        <v>77</v>
      </c>
    </row>
    <row r="20" spans="1:25" ht="29.4" thickBot="1" x14ac:dyDescent="0.35">
      <c r="A20" s="5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5" t="s">
        <v>6</v>
      </c>
      <c r="H20" t="s">
        <v>72</v>
      </c>
      <c r="I20" s="2" t="s">
        <v>73</v>
      </c>
      <c r="J20" s="13" t="str">
        <f>TRUNC(SUMIF(A20:A24,"Residential Load",F20:F24),3)&amp;"(0.6)"</f>
        <v>575(0.6)</v>
      </c>
      <c r="K20" s="2" t="s">
        <v>74</v>
      </c>
      <c r="L20" s="13" t="str">
        <f>TRUNC(SUMIF(A20:A24,"Commercial Load",F20:F24),3)&amp;"(0.7)"</f>
        <v>368(0.7)</v>
      </c>
      <c r="M20" s="2" t="s">
        <v>74</v>
      </c>
      <c r="N20" s="13" t="str">
        <f>TRUNC(SUMIF(A20:A24,"Industrial Load",F20:F24),3)&amp;"(0.65)"</f>
        <v>0(0.65)</v>
      </c>
      <c r="O20" s="2" t="str">
        <f>"="</f>
        <v>=</v>
      </c>
      <c r="P20" s="20">
        <f>((SUMIF(A20:A24,"Residential Load",F20:F24)*MID(J20,LEN(J20)-3,3))/J21)+((SUMIF(A20:A24,"Commercial Load",F20:F24)*MID(L20,LEN(L20)-3,3))/L21)+((SUMIF(A20:A24,"Industrial Load",F20:F24)*MID(N20,LEN(N20)-3,3))/N21)</f>
        <v>348.93835616438355</v>
      </c>
      <c r="Q20" s="22" t="s">
        <v>75</v>
      </c>
      <c r="R20" s="2">
        <v>0.9</v>
      </c>
      <c r="S20" s="21">
        <f>P20/R20</f>
        <v>387.70928462709281</v>
      </c>
      <c r="U20" s="12" t="s">
        <v>89</v>
      </c>
      <c r="Y20">
        <f>MID(U20,9,SEARCH("T",U20,1)-14)*1</f>
        <v>450</v>
      </c>
    </row>
    <row r="21" spans="1:25" x14ac:dyDescent="0.3">
      <c r="A21" s="4" t="s">
        <v>7</v>
      </c>
      <c r="B21" s="2">
        <v>100</v>
      </c>
      <c r="C21" s="2">
        <v>25</v>
      </c>
      <c r="D21" s="2">
        <v>1</v>
      </c>
      <c r="E21" s="2">
        <v>230</v>
      </c>
      <c r="F21" s="14">
        <f>Table1624112[[#This Row],[NO. OF ESTABLISHMENTS]]*Table1624112[[#This Row],[ESTIMATED AVERAGE AMPACITY]]*Table1624112[[#This Row],[VOLTAGE]]/1000</f>
        <v>575</v>
      </c>
      <c r="J21" s="2">
        <v>2</v>
      </c>
      <c r="L21" s="2">
        <v>1.46</v>
      </c>
      <c r="N21" s="2">
        <v>0.86</v>
      </c>
    </row>
    <row r="22" spans="1:25" x14ac:dyDescent="0.3">
      <c r="A22" s="4" t="s">
        <v>8</v>
      </c>
      <c r="B22" s="2">
        <v>20</v>
      </c>
      <c r="C22" s="2">
        <v>80</v>
      </c>
      <c r="D22" s="2">
        <v>1</v>
      </c>
      <c r="E22" s="2">
        <v>230</v>
      </c>
      <c r="F22" s="14">
        <f>Table1624112[[#This Row],[NO. OF ESTABLISHMENTS]]*Table1624112[[#This Row],[ESTIMATED AVERAGE AMPACITY]]*Table1624112[[#This Row],[VOLTAGE]]/1000</f>
        <v>368</v>
      </c>
    </row>
    <row r="23" spans="1:25" x14ac:dyDescent="0.3">
      <c r="A23" s="4" t="s">
        <v>9</v>
      </c>
      <c r="B23" s="2">
        <v>0</v>
      </c>
      <c r="C23" s="2">
        <v>0</v>
      </c>
      <c r="D23" s="2">
        <v>0</v>
      </c>
      <c r="E23" s="2">
        <v>0</v>
      </c>
      <c r="F23" s="14">
        <v>0</v>
      </c>
      <c r="H23" t="s">
        <v>79</v>
      </c>
      <c r="I23" s="2" t="str">
        <f>"="</f>
        <v>=</v>
      </c>
      <c r="J23" s="2" t="str">
        <f>IF((COUNTIF(A20:A24,"Commercial Load (Bulk)")&gt;0),TRUNC(LOOKUP("Commercial Load (Bulk)",A20:A24,F20:F24))&amp;"(0.7)",IF(COUNTIF(A20:A24,"Industrial Load (Bulk)")&gt;0,TRUNC(LOOKUP("Industrial Load (Bulk)",A20:A24,F20:F24))&amp;"(0.7)",""))</f>
        <v/>
      </c>
      <c r="P23" s="24" t="str">
        <f>IF((COUNTIF(A20:A24,"Commercial Load (Bulk)")&gt;0),(LOOKUP("Commercial Load (Bulk)",A20:A24,F20:F24)*MID(J23,LEN(J23)-3,3))/J24,IF(COUNTIF(A20:A24,"Industrial Load (Bulk)")&gt;0,(LOOKUP("Industrial Load (Bulk)",A20:A24,F20:F24)*MID(J23,LEN(J23)-3,3))/J24,""))</f>
        <v/>
      </c>
      <c r="R23" s="2"/>
      <c r="S23" s="21" t="str">
        <f>IF(ISBLANK(R23),"",P23/R23)</f>
        <v/>
      </c>
    </row>
    <row r="24" spans="1:25" x14ac:dyDescent="0.3">
      <c r="A24" s="4"/>
      <c r="B24" s="2"/>
      <c r="C24" s="2"/>
      <c r="D24" s="2"/>
      <c r="E24" s="2"/>
      <c r="F24" s="14"/>
      <c r="J24" s="23" t="str">
        <f>IF((COUNTIF(A20:A24,"Commercial Load (Bulk)")&gt;0),"0.9",IF(COUNTIF(A20:A24,"Industrial Load (Bulk)")&gt;0,"0.9",""))</f>
        <v/>
      </c>
      <c r="R24" s="2"/>
      <c r="S24" s="21"/>
    </row>
    <row r="25" spans="1:25" x14ac:dyDescent="0.3">
      <c r="A25" s="4"/>
      <c r="B25" s="2"/>
      <c r="C25" s="2"/>
      <c r="D25" s="2"/>
      <c r="E25" s="2"/>
      <c r="F25" s="14"/>
    </row>
    <row r="26" spans="1:25" x14ac:dyDescent="0.3">
      <c r="A26" s="3" t="s">
        <v>45</v>
      </c>
      <c r="B26" s="2"/>
      <c r="C26" s="2"/>
      <c r="D26" s="2"/>
      <c r="E26" s="2"/>
      <c r="F26" s="14"/>
    </row>
    <row r="27" spans="1:25" ht="15" thickBot="1" x14ac:dyDescent="0.35">
      <c r="A27" s="4"/>
      <c r="B27" s="2"/>
      <c r="C27" s="2"/>
      <c r="D27" s="2"/>
      <c r="E27" s="2"/>
      <c r="F27" s="14"/>
      <c r="R27" s="2" t="s">
        <v>76</v>
      </c>
      <c r="S27" s="25" t="s">
        <v>77</v>
      </c>
    </row>
    <row r="28" spans="1:25" ht="29.4" thickBot="1" x14ac:dyDescent="0.35">
      <c r="A28" s="5" t="s">
        <v>1</v>
      </c>
      <c r="B28" s="1" t="s">
        <v>2</v>
      </c>
      <c r="C28" s="1" t="s">
        <v>3</v>
      </c>
      <c r="D28" s="1" t="s">
        <v>4</v>
      </c>
      <c r="E28" s="1" t="s">
        <v>5</v>
      </c>
      <c r="F28" s="15" t="s">
        <v>6</v>
      </c>
      <c r="H28" t="s">
        <v>72</v>
      </c>
      <c r="I28" s="2" t="s">
        <v>73</v>
      </c>
      <c r="J28" s="13" t="str">
        <f>TRUNC(SUMIF(A28:A32,"Residential Load",F28:F32),3)&amp;"(0.6)"</f>
        <v>241.5(0.6)</v>
      </c>
      <c r="K28" s="2" t="s">
        <v>74</v>
      </c>
      <c r="L28" s="13" t="str">
        <f>TRUNC(SUMIF(A28:A32,"Commercial Load",F28:F32),3)&amp;"(0.7)"</f>
        <v>149.5(0.7)</v>
      </c>
      <c r="M28" s="2" t="s">
        <v>74</v>
      </c>
      <c r="N28" s="13" t="str">
        <f>TRUNC(SUMIF(A28:A32,"Industrial Load",F28:F32),3)&amp;"(0.65)"</f>
        <v>0(0.65)</v>
      </c>
      <c r="O28" s="2" t="str">
        <f>"="</f>
        <v>=</v>
      </c>
      <c r="P28" s="20">
        <f>((SUMIF(A28:A32,"Residential Load",F28:F32)*MID(J28,LEN(J28)-3,3))/J29)+((SUMIF(A28:A32,"Commercial Load",F28:F32)*MID(L28,LEN(L28)-3,3))/L29)+((SUMIF(A28:A32,"Industrial Load",F28:F32)*MID(N28,LEN(N28)-3,3))/N29)</f>
        <v>144.12808219178083</v>
      </c>
      <c r="Q28" s="22" t="s">
        <v>75</v>
      </c>
      <c r="R28" s="2">
        <v>0.9</v>
      </c>
      <c r="S28" s="21">
        <f>P28/R28</f>
        <v>160.14231354642314</v>
      </c>
      <c r="U28" s="12" t="s">
        <v>97</v>
      </c>
      <c r="Y28">
        <f>MID(U28,9,SEARCH("T",U28,1)-14)*1</f>
        <v>225</v>
      </c>
    </row>
    <row r="29" spans="1:25" x14ac:dyDescent="0.3">
      <c r="A29" s="4" t="s">
        <v>7</v>
      </c>
      <c r="B29" s="2">
        <v>70</v>
      </c>
      <c r="C29" s="2">
        <v>15</v>
      </c>
      <c r="D29" s="2">
        <v>1</v>
      </c>
      <c r="E29" s="2">
        <v>230</v>
      </c>
      <c r="F29" s="14">
        <f>Table1725113[[#This Row],[NO. OF ESTABLISHMENTS]]*Table1725113[[#This Row],[ESTIMATED AVERAGE AMPACITY]]*Table1725113[[#This Row],[VOLTAGE]]/1000</f>
        <v>241.5</v>
      </c>
      <c r="J29" s="2">
        <v>2</v>
      </c>
      <c r="L29" s="2">
        <v>1.46</v>
      </c>
      <c r="N29" s="2">
        <v>0.86</v>
      </c>
    </row>
    <row r="30" spans="1:25" x14ac:dyDescent="0.3">
      <c r="A30" s="4" t="s">
        <v>8</v>
      </c>
      <c r="B30" s="2">
        <v>10</v>
      </c>
      <c r="C30" s="2">
        <v>65</v>
      </c>
      <c r="D30" s="2">
        <v>1</v>
      </c>
      <c r="E30" s="2">
        <v>230</v>
      </c>
      <c r="F30" s="14">
        <f>Table1725113[[#This Row],[NO. OF ESTABLISHMENTS]]*Table1725113[[#This Row],[ESTIMATED AVERAGE AMPACITY]]*Table1725113[[#This Row],[VOLTAGE]]/1000</f>
        <v>149.5</v>
      </c>
    </row>
    <row r="31" spans="1:25" x14ac:dyDescent="0.3">
      <c r="A31" s="4" t="s">
        <v>9</v>
      </c>
      <c r="B31" s="2">
        <v>0</v>
      </c>
      <c r="C31" s="2">
        <v>0</v>
      </c>
      <c r="D31" s="2">
        <v>0</v>
      </c>
      <c r="E31" s="2">
        <v>0</v>
      </c>
      <c r="F31" s="14">
        <v>0</v>
      </c>
      <c r="H31" t="s">
        <v>79</v>
      </c>
      <c r="I31" s="2" t="str">
        <f>"="</f>
        <v>=</v>
      </c>
      <c r="J31" s="2" t="str">
        <f>IF((COUNTIF(A28:A32,"Commercial Load (Bulk)")&gt;0),TRUNC(LOOKUP("Commercial Load (Bulk)",A28:A32,F28:F32))&amp;"(0.7)",IF(COUNTIF(A28:A32,"Industrial Load (Bulk)")&gt;0,TRUNC(LOOKUP("Industrial Load (Bulk)",A28:A32,F28:F32))&amp;"(0.7)",""))</f>
        <v/>
      </c>
      <c r="P31" s="24" t="str">
        <f>IF((COUNTIF(A28:A32,"Commercial Load (Bulk)")&gt;0),(LOOKUP("Commercial Load (Bulk)",A28:A32,F28:F32)*MID(J31,LEN(J31)-3,3))/J32,IF(COUNTIF(A28:A32,"Industrial Load (Bulk)")&gt;0,(LOOKUP("Industrial Load (Bulk)",A28:A32,F28:F32)*MID(J31,LEN(J31)-3,3))/J32,""))</f>
        <v/>
      </c>
      <c r="R31" s="2"/>
      <c r="S31" s="21" t="str">
        <f>IF(ISBLANK(R31),"",P31/R31)</f>
        <v/>
      </c>
    </row>
    <row r="32" spans="1:25" x14ac:dyDescent="0.3">
      <c r="A32" s="4"/>
      <c r="B32" s="2"/>
      <c r="C32" s="2"/>
      <c r="D32" s="2"/>
      <c r="E32" s="2"/>
      <c r="F32" s="14"/>
      <c r="J32" s="23" t="str">
        <f>IF((COUNTIF(A28:A32,"Commercial Load (Bulk)")&gt;0),"0.9",IF(COUNTIF(A28:A32,"Industrial Load (Bulk)")&gt;0,"0.9",""))</f>
        <v/>
      </c>
      <c r="R32" s="2"/>
      <c r="S32" s="21"/>
    </row>
    <row r="33" spans="1:25" x14ac:dyDescent="0.3">
      <c r="A33" s="4"/>
      <c r="B33" s="2"/>
      <c r="C33" s="2"/>
      <c r="D33" s="2"/>
      <c r="E33" s="2"/>
      <c r="F33" s="14"/>
    </row>
    <row r="34" spans="1:25" x14ac:dyDescent="0.3">
      <c r="A34" s="3" t="s">
        <v>46</v>
      </c>
      <c r="B34" s="2"/>
      <c r="C34" s="2"/>
      <c r="D34" s="2"/>
      <c r="E34" s="2"/>
      <c r="F34" s="14"/>
    </row>
    <row r="35" spans="1:25" ht="15" thickBot="1" x14ac:dyDescent="0.35">
      <c r="A35" s="4"/>
      <c r="B35" s="2"/>
      <c r="C35" s="2"/>
      <c r="D35" s="2"/>
      <c r="E35" s="2"/>
      <c r="F35" s="14"/>
      <c r="R35" s="2" t="s">
        <v>76</v>
      </c>
      <c r="S35" s="25" t="s">
        <v>77</v>
      </c>
    </row>
    <row r="36" spans="1:25" ht="29.4" thickBot="1" x14ac:dyDescent="0.35">
      <c r="A36" s="5" t="s">
        <v>1</v>
      </c>
      <c r="B36" s="1" t="s">
        <v>2</v>
      </c>
      <c r="C36" s="1" t="s">
        <v>3</v>
      </c>
      <c r="D36" s="1" t="s">
        <v>4</v>
      </c>
      <c r="E36" s="1" t="s">
        <v>5</v>
      </c>
      <c r="F36" s="15" t="s">
        <v>6</v>
      </c>
      <c r="H36" t="s">
        <v>72</v>
      </c>
      <c r="I36" s="2" t="s">
        <v>73</v>
      </c>
      <c r="J36" s="13" t="str">
        <f>TRUNC(SUMIF(A36:A40,"Residential Load",F36:F40),3)&amp;"(0.6)"</f>
        <v>460(0.6)</v>
      </c>
      <c r="K36" s="2" t="s">
        <v>74</v>
      </c>
      <c r="L36" s="13" t="str">
        <f>TRUNC(SUMIF(A36:A40,"Commercial Load",F36:F40),3)&amp;"(0.7)"</f>
        <v>74.75(0.7)</v>
      </c>
      <c r="M36" s="2" t="s">
        <v>74</v>
      </c>
      <c r="N36" s="13" t="str">
        <f>TRUNC(SUMIF(A36:A40,"Industrial Load",F36:F40),3)&amp;"(0.65)"</f>
        <v>0(0.65)</v>
      </c>
      <c r="O36" s="2" t="str">
        <f>"="</f>
        <v>=</v>
      </c>
      <c r="P36" s="20">
        <f>((SUMIF(A36:A40,"Residential Load",F36:F40)*MID(J36,LEN(J36)-3,3))/J37)+((SUMIF(A36:A40,"Commercial Load",F36:F40)*MID(L36,LEN(L36)-3,3))/L37)+((SUMIF(A36:A40,"Industrial Load",F36:F40)*MID(N36,LEN(N36)-3,3))/N37)</f>
        <v>173.83904109589042</v>
      </c>
      <c r="Q36" s="22" t="s">
        <v>75</v>
      </c>
      <c r="R36" s="2">
        <v>0.9</v>
      </c>
      <c r="S36" s="21">
        <f>P36/R36</f>
        <v>193.1544901065449</v>
      </c>
      <c r="U36" s="12" t="s">
        <v>97</v>
      </c>
      <c r="Y36">
        <f>MID(U36,9,SEARCH("T",U36,1)-14)*1</f>
        <v>225</v>
      </c>
    </row>
    <row r="37" spans="1:25" x14ac:dyDescent="0.3">
      <c r="A37" s="4" t="s">
        <v>7</v>
      </c>
      <c r="B37" s="2">
        <v>80</v>
      </c>
      <c r="C37" s="2">
        <v>25</v>
      </c>
      <c r="D37" s="2">
        <v>1</v>
      </c>
      <c r="E37" s="2">
        <v>230</v>
      </c>
      <c r="F37" s="14">
        <f>Table15826114[[#This Row],[NO. OF ESTABLISHMENTS]]*Table15826114[[#This Row],[ESTIMATED AVERAGE AMPACITY]]*Table15826114[[#This Row],[VOLTAGE]]/1000</f>
        <v>460</v>
      </c>
      <c r="J37" s="2">
        <v>2</v>
      </c>
      <c r="L37" s="2">
        <v>1.46</v>
      </c>
      <c r="N37" s="2">
        <v>0.86</v>
      </c>
    </row>
    <row r="38" spans="1:25" x14ac:dyDescent="0.3">
      <c r="A38" s="4" t="s">
        <v>8</v>
      </c>
      <c r="B38" s="2">
        <v>5</v>
      </c>
      <c r="C38" s="2">
        <v>65</v>
      </c>
      <c r="D38" s="2">
        <v>1</v>
      </c>
      <c r="E38" s="2">
        <v>230</v>
      </c>
      <c r="F38" s="14">
        <f>Table15826114[[#This Row],[NO. OF ESTABLISHMENTS]]*Table15826114[[#This Row],[ESTIMATED AVERAGE AMPACITY]]*Table15826114[[#This Row],[VOLTAGE]]/1000</f>
        <v>74.75</v>
      </c>
    </row>
    <row r="39" spans="1:25" x14ac:dyDescent="0.3">
      <c r="A39" s="4" t="s">
        <v>9</v>
      </c>
      <c r="B39" s="2">
        <v>0</v>
      </c>
      <c r="C39" s="2">
        <v>0</v>
      </c>
      <c r="D39" s="2">
        <v>0</v>
      </c>
      <c r="E39" s="2">
        <v>0</v>
      </c>
      <c r="F39" s="14">
        <v>0</v>
      </c>
      <c r="H39" t="s">
        <v>79</v>
      </c>
      <c r="I39" s="2" t="str">
        <f>"="</f>
        <v>=</v>
      </c>
      <c r="J39" s="2" t="str">
        <f>IF((COUNTIF(A36:A40,"Commercial Load (Bulk)")&gt;0),TRUNC(LOOKUP("Commercial Load (Bulk)",A36:A40,F36:F40))&amp;"(0.7)",IF(COUNTIF(A36:A40,"Industrial Load (Bulk)")&gt;0,TRUNC(LOOKUP("Industrial Load (Bulk)",A36:A40,F36:F40))&amp;"(0.7)",""))</f>
        <v/>
      </c>
      <c r="P39" s="24" t="str">
        <f>IF((COUNTIF(A36:A40,"Commercial Load (Bulk)")&gt;0),(LOOKUP("Commercial Load (Bulk)",A36:A40,F36:F40)*MID(J39,LEN(J39)-3,3))/J40,IF(COUNTIF(A36:A40,"Industrial Load (Bulk)")&gt;0,(LOOKUP("Industrial Load (Bulk)",A36:A40,F36:F40)*MID(J39,LEN(J39)-3,3))/J40,""))</f>
        <v/>
      </c>
      <c r="R39" s="2"/>
      <c r="S39" s="21" t="str">
        <f>IF(ISBLANK(R39),"",P39/R39)</f>
        <v/>
      </c>
    </row>
    <row r="40" spans="1:25" x14ac:dyDescent="0.3">
      <c r="A40" s="4"/>
      <c r="B40" s="2"/>
      <c r="C40" s="2"/>
      <c r="D40" s="2"/>
      <c r="E40" s="2"/>
      <c r="F40" s="14"/>
      <c r="J40" s="23" t="str">
        <f>IF((COUNTIF(A36:A40,"Commercial Load (Bulk)")&gt;0),"0.9",IF(COUNTIF(A36:A40,"Industrial Load (Bulk)")&gt;0,"0.9",""))</f>
        <v/>
      </c>
      <c r="R40" s="2"/>
      <c r="S40" s="21"/>
    </row>
    <row r="41" spans="1:25" x14ac:dyDescent="0.3">
      <c r="A41" s="4"/>
      <c r="B41" s="2"/>
      <c r="C41" s="2"/>
      <c r="D41" s="2"/>
      <c r="E41" s="2"/>
      <c r="F41" s="14"/>
    </row>
    <row r="42" spans="1:25" x14ac:dyDescent="0.3">
      <c r="A42" s="3" t="s">
        <v>47</v>
      </c>
      <c r="B42" s="2"/>
      <c r="C42" s="2"/>
      <c r="D42" s="2"/>
      <c r="E42" s="2"/>
      <c r="F42" s="14"/>
    </row>
    <row r="43" spans="1:25" ht="15" thickBot="1" x14ac:dyDescent="0.35">
      <c r="A43" s="4"/>
      <c r="B43" s="2"/>
      <c r="C43" s="2"/>
      <c r="D43" s="2"/>
      <c r="E43" s="2"/>
      <c r="F43" s="14"/>
      <c r="R43" s="2" t="s">
        <v>76</v>
      </c>
      <c r="S43" s="25" t="s">
        <v>77</v>
      </c>
    </row>
    <row r="44" spans="1:25" ht="15" thickBot="1" x14ac:dyDescent="0.35">
      <c r="A44" s="5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15" t="s">
        <v>6</v>
      </c>
      <c r="H44" t="s">
        <v>72</v>
      </c>
      <c r="I44" s="2" t="s">
        <v>73</v>
      </c>
      <c r="J44" s="13" t="str">
        <f>TRUNC(SUMIF(A44:A48,"Residential Load",F44:F48),3)&amp;"(0.6)"</f>
        <v>483(0.6)</v>
      </c>
      <c r="K44" s="2" t="s">
        <v>74</v>
      </c>
      <c r="L44" s="13" t="str">
        <f>TRUNC(SUMIF(A44:A48,"Commercial Load",F44:F48),3)&amp;"(0.7)"</f>
        <v>258.75(0.7)</v>
      </c>
      <c r="M44" s="2" t="s">
        <v>74</v>
      </c>
      <c r="N44" s="13" t="str">
        <f>TRUNC(SUMIF(A44:A48,"Industrial Load",F44:F48),3)&amp;"(0.65)"</f>
        <v>0(0.65)</v>
      </c>
      <c r="O44" s="2" t="str">
        <f>"="</f>
        <v>=</v>
      </c>
      <c r="P44" s="20">
        <f>((SUMIF(A44:A48,"Residential Load",F44:F48)*MID(J44,LEN(J44)-3,3))/J45)+((SUMIF(A44:A48,"Commercial Load",F44:F48)*MID(L44,LEN(L44)-3,3))/L45)+((SUMIF(A44:A48,"Industrial Load",F44:F48)*MID(N44,LEN(N44)-3,3))/N45)</f>
        <v>268.95821917808223</v>
      </c>
      <c r="Q44" s="22" t="s">
        <v>75</v>
      </c>
      <c r="R44" s="2">
        <v>0.9</v>
      </c>
      <c r="S44" s="21">
        <f>P44/R44</f>
        <v>298.84246575342468</v>
      </c>
      <c r="U44" s="12" t="s">
        <v>88</v>
      </c>
      <c r="Y44">
        <f>MID(U44,9,SEARCH("T",U44,1)-14)*1</f>
        <v>300</v>
      </c>
    </row>
    <row r="45" spans="1:25" x14ac:dyDescent="0.3">
      <c r="A45" s="4" t="s">
        <v>7</v>
      </c>
      <c r="B45" s="2">
        <v>70</v>
      </c>
      <c r="C45" s="2">
        <v>30</v>
      </c>
      <c r="D45" s="2">
        <v>1</v>
      </c>
      <c r="E45" s="2">
        <v>230</v>
      </c>
      <c r="F45" s="14">
        <f>Table16927115[[#This Row],[NO. OF ESTABLISHMENTS]]*Table16927115[[#This Row],[ESTIMATED AVERAGE AMPACITY]]*Table16927115[[#This Row],[VOLTAGE]]/1000</f>
        <v>483</v>
      </c>
      <c r="J45" s="2">
        <v>2</v>
      </c>
      <c r="L45" s="2">
        <v>1.46</v>
      </c>
      <c r="N45" s="2">
        <v>0.86</v>
      </c>
    </row>
    <row r="46" spans="1:25" x14ac:dyDescent="0.3">
      <c r="A46" s="4" t="s">
        <v>8</v>
      </c>
      <c r="B46" s="2">
        <v>15</v>
      </c>
      <c r="C46" s="2">
        <v>75</v>
      </c>
      <c r="D46" s="2">
        <v>1</v>
      </c>
      <c r="E46" s="2">
        <v>230</v>
      </c>
      <c r="F46" s="14">
        <f>Table16927115[[#This Row],[NO. OF ESTABLISHMENTS]]*Table16927115[[#This Row],[ESTIMATED AVERAGE AMPACITY]]*Table16927115[[#This Row],[VOLTAGE]]/1000</f>
        <v>258.75</v>
      </c>
    </row>
    <row r="47" spans="1:25" x14ac:dyDescent="0.3">
      <c r="A47" s="4" t="s">
        <v>9</v>
      </c>
      <c r="B47" s="2">
        <v>0</v>
      </c>
      <c r="C47" s="2">
        <v>0</v>
      </c>
      <c r="D47" s="2">
        <v>0</v>
      </c>
      <c r="E47" s="2">
        <v>0</v>
      </c>
      <c r="F47" s="14">
        <v>0</v>
      </c>
      <c r="H47" t="s">
        <v>79</v>
      </c>
      <c r="I47" s="2" t="str">
        <f>"="</f>
        <v>=</v>
      </c>
      <c r="J47" s="2" t="str">
        <f>IF((COUNTIF(A44:A48,"Commercial Load (Bulk)")&gt;0),TRUNC(LOOKUP("Commercial Load (Bulk)",A44:A48,F44:F48))&amp;"(0.7)",IF(COUNTIF(A44:A48,"Industrial Load (Bulk)")&gt;0,TRUNC(LOOKUP("Industrial Load (Bulk)",A44:A48,F44:F48))&amp;"(0.7)",""))</f>
        <v/>
      </c>
      <c r="P47" s="24" t="str">
        <f>IF((COUNTIF(A44:A48,"Commercial Load (Bulk)")&gt;0),(LOOKUP("Commercial Load (Bulk)",A44:A48,F44:F48)*MID(J47,LEN(J47)-3,3))/J48,IF(COUNTIF(A44:A48,"Industrial Load (Bulk)")&gt;0,(LOOKUP("Industrial Load (Bulk)",A44:A48,F44:F48)*MID(J47,LEN(J47)-3,3))/J48,""))</f>
        <v/>
      </c>
      <c r="R47" s="2"/>
      <c r="S47" s="21" t="str">
        <f>IF(ISBLANK(R47),"",P47/R47)</f>
        <v/>
      </c>
    </row>
    <row r="48" spans="1:25" x14ac:dyDescent="0.3">
      <c r="A48" s="4"/>
      <c r="B48" s="2"/>
      <c r="C48" s="2"/>
      <c r="D48" s="2"/>
      <c r="E48" s="2"/>
      <c r="F48" s="14"/>
      <c r="J48" s="23" t="str">
        <f>IF((COUNTIF(A44:A48,"Commercial Load (Bulk)")&gt;0),"0.9",IF(COUNTIF(A44:A48,"Industrial Load (Bulk)")&gt;0,"0.9",""))</f>
        <v/>
      </c>
      <c r="R48" s="2"/>
      <c r="S48" s="21"/>
    </row>
    <row r="49" spans="1:25" x14ac:dyDescent="0.3">
      <c r="A49" s="4"/>
      <c r="B49" s="2"/>
      <c r="C49" s="2"/>
      <c r="D49" s="2"/>
      <c r="E49" s="2"/>
      <c r="F49" s="14"/>
    </row>
    <row r="50" spans="1:25" x14ac:dyDescent="0.3">
      <c r="A50" s="3" t="s">
        <v>48</v>
      </c>
      <c r="B50" s="2"/>
      <c r="C50" s="2"/>
      <c r="D50" s="2"/>
      <c r="E50" s="2"/>
      <c r="F50" s="14"/>
    </row>
    <row r="51" spans="1:25" ht="15" thickBot="1" x14ac:dyDescent="0.35">
      <c r="A51" s="4"/>
      <c r="B51" s="2"/>
      <c r="C51" s="2"/>
      <c r="D51" s="2"/>
      <c r="E51" s="2"/>
      <c r="F51" s="14"/>
      <c r="R51" s="2" t="s">
        <v>76</v>
      </c>
      <c r="S51" s="25" t="s">
        <v>77</v>
      </c>
    </row>
    <row r="52" spans="1:25" ht="15" thickBot="1" x14ac:dyDescent="0.35">
      <c r="A52" s="5" t="s">
        <v>1</v>
      </c>
      <c r="B52" s="1" t="s">
        <v>2</v>
      </c>
      <c r="C52" s="1" t="s">
        <v>3</v>
      </c>
      <c r="D52" s="1" t="s">
        <v>4</v>
      </c>
      <c r="E52" s="1" t="s">
        <v>5</v>
      </c>
      <c r="F52" s="15" t="s">
        <v>6</v>
      </c>
      <c r="H52" t="s">
        <v>72</v>
      </c>
      <c r="I52" s="2" t="s">
        <v>73</v>
      </c>
      <c r="J52" s="13" t="str">
        <f>TRUNC(SUMIF(A52:A56,"Residential Load",F52:F56),3)&amp;"(0.6)"</f>
        <v>414(0.6)</v>
      </c>
      <c r="K52" s="2" t="s">
        <v>74</v>
      </c>
      <c r="L52" s="13" t="str">
        <f>TRUNC(SUMIF(A52:A56,"Commercial Load",F52:F56),3)&amp;"(0.7)"</f>
        <v>224.25(0.7)</v>
      </c>
      <c r="M52" s="2" t="s">
        <v>74</v>
      </c>
      <c r="N52" s="13" t="str">
        <f>TRUNC(SUMIF(A52:A56,"Industrial Load",F52:F56),3)&amp;"(0.65)"</f>
        <v>0(0.65)</v>
      </c>
      <c r="O52" s="2" t="str">
        <f>"="</f>
        <v>=</v>
      </c>
      <c r="P52" s="20">
        <f>((SUMIF(A52:A56,"Residential Load",F52:F56)*MID(J52,LEN(J52)-3,3))/J53)+((SUMIF(A52:A56,"Commercial Load",F52:F56)*MID(L52,LEN(L52)-3,3))/L53)+((SUMIF(A52:A56,"Industrial Load",F52:F56)*MID(N52,LEN(N52)-3,3))/N53)</f>
        <v>231.7171232876712</v>
      </c>
      <c r="Q52" s="22" t="s">
        <v>75</v>
      </c>
      <c r="R52" s="2">
        <v>0.9</v>
      </c>
      <c r="S52" s="21">
        <f>P52/R52</f>
        <v>257.46347031963467</v>
      </c>
      <c r="U52" s="12" t="s">
        <v>88</v>
      </c>
      <c r="Y52">
        <f>MID(U52,9,SEARCH("T",U52,1)-14)*1</f>
        <v>300</v>
      </c>
    </row>
    <row r="53" spans="1:25" x14ac:dyDescent="0.3">
      <c r="A53" s="4" t="s">
        <v>7</v>
      </c>
      <c r="B53" s="2">
        <v>120</v>
      </c>
      <c r="C53" s="2">
        <v>15</v>
      </c>
      <c r="D53" s="2">
        <v>1</v>
      </c>
      <c r="E53" s="2">
        <v>230</v>
      </c>
      <c r="F53" s="14">
        <f>Table11028116[[#This Row],[NO. OF ESTABLISHMENTS]]*Table11028116[[#This Row],[ESTIMATED AVERAGE AMPACITY]]*Table11028116[[#This Row],[VOLTAGE]]/1000</f>
        <v>414</v>
      </c>
      <c r="J53" s="2">
        <v>2</v>
      </c>
      <c r="L53" s="2">
        <v>1.46</v>
      </c>
      <c r="N53" s="2">
        <v>0.86</v>
      </c>
    </row>
    <row r="54" spans="1:25" x14ac:dyDescent="0.3">
      <c r="A54" s="4" t="s">
        <v>8</v>
      </c>
      <c r="B54" s="2">
        <v>15</v>
      </c>
      <c r="C54" s="2">
        <v>65</v>
      </c>
      <c r="D54" s="2">
        <v>1</v>
      </c>
      <c r="E54" s="2">
        <v>230</v>
      </c>
      <c r="F54" s="14">
        <f>Table11028116[[#This Row],[NO. OF ESTABLISHMENTS]]*Table11028116[[#This Row],[ESTIMATED AVERAGE AMPACITY]]*Table11028116[[#This Row],[VOLTAGE]]/1000</f>
        <v>224.25</v>
      </c>
    </row>
    <row r="55" spans="1:25" x14ac:dyDescent="0.3">
      <c r="A55" s="4" t="s">
        <v>9</v>
      </c>
      <c r="B55" s="2">
        <v>0</v>
      </c>
      <c r="C55" s="2">
        <v>0</v>
      </c>
      <c r="D55" s="2">
        <v>0</v>
      </c>
      <c r="E55" s="2">
        <v>0</v>
      </c>
      <c r="F55" s="14">
        <v>0</v>
      </c>
      <c r="H55" t="s">
        <v>79</v>
      </c>
      <c r="I55" s="2" t="str">
        <f>"="</f>
        <v>=</v>
      </c>
      <c r="J55" s="2" t="str">
        <f>IF((COUNTIF(A52:A56,"Commercial Load (Bulk)")&gt;0),TRUNC(LOOKUP("Commercial Load (Bulk)",A52:A56,F52:F56))&amp;"(0.7)",IF(COUNTIF(A52:A56,"Industrial Load (Bulk)")&gt;0,TRUNC(LOOKUP("Industrial Load (Bulk)",A52:A56,F52:F56))&amp;"(0.7)",""))</f>
        <v/>
      </c>
      <c r="P55" s="24" t="str">
        <f>IF((COUNTIF(A52:A56,"Commercial Load (Bulk)")&gt;0),(LOOKUP("Commercial Load (Bulk)",A52:A56,F52:F56)*MID(J55,LEN(J55)-3,3))/J56,IF(COUNTIF(A52:A56,"Industrial Load (Bulk)")&gt;0,(LOOKUP("Industrial Load (Bulk)",A52:A56,F52:F56)*MID(J55,LEN(J55)-3,3))/J56,""))</f>
        <v/>
      </c>
      <c r="R55" s="2"/>
      <c r="S55" s="21" t="str">
        <f>IF(ISBLANK(R55),"",P55/R55)</f>
        <v/>
      </c>
    </row>
    <row r="56" spans="1:25" x14ac:dyDescent="0.3">
      <c r="A56" s="4"/>
      <c r="B56" s="2"/>
      <c r="C56" s="2"/>
      <c r="D56" s="2"/>
      <c r="E56" s="2"/>
      <c r="F56" s="14"/>
      <c r="J56" s="23" t="str">
        <f>IF((COUNTIF(A52:A56,"Commercial Load (Bulk)")&gt;0),"0.9",IF(COUNTIF(A52:A56,"Industrial Load (Bulk)")&gt;0,"0.9",""))</f>
        <v/>
      </c>
      <c r="R56" s="2"/>
      <c r="S56" s="21"/>
    </row>
    <row r="57" spans="1:25" x14ac:dyDescent="0.3">
      <c r="A57" s="4"/>
      <c r="B57" s="2"/>
      <c r="C57" s="2"/>
      <c r="D57" s="2"/>
      <c r="E57" s="2"/>
      <c r="F57" s="14"/>
    </row>
    <row r="58" spans="1:25" x14ac:dyDescent="0.3">
      <c r="A58" s="3" t="s">
        <v>49</v>
      </c>
      <c r="B58" s="2"/>
      <c r="C58" s="2"/>
      <c r="D58" s="2"/>
      <c r="E58" s="2"/>
      <c r="F58" s="14"/>
    </row>
    <row r="59" spans="1:25" ht="15" thickBot="1" x14ac:dyDescent="0.35">
      <c r="A59" s="4"/>
      <c r="B59" s="2"/>
      <c r="C59" s="2"/>
      <c r="D59" s="2"/>
      <c r="E59" s="2"/>
      <c r="F59" s="14"/>
      <c r="R59" s="2" t="s">
        <v>76</v>
      </c>
      <c r="S59" s="25" t="s">
        <v>77</v>
      </c>
    </row>
    <row r="60" spans="1:25" ht="15" thickBot="1" x14ac:dyDescent="0.35">
      <c r="A60" s="5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5" t="s">
        <v>6</v>
      </c>
      <c r="H60" t="s">
        <v>72</v>
      </c>
      <c r="I60" s="2" t="s">
        <v>73</v>
      </c>
      <c r="J60" s="13" t="str">
        <f>TRUNC(SUMIF(A60:A64,"Residential Load",F60:F64),3)&amp;"(0.6)"</f>
        <v>460(0.6)</v>
      </c>
      <c r="K60" s="2" t="s">
        <v>74</v>
      </c>
      <c r="L60" s="13" t="str">
        <f>TRUNC(SUMIF(A60:A64,"Commercial Load",F60:F64),3)&amp;"(0.7)"</f>
        <v>161(0.7)</v>
      </c>
      <c r="M60" s="2" t="s">
        <v>74</v>
      </c>
      <c r="N60" s="13" t="str">
        <f>TRUNC(SUMIF(A60:A64,"Industrial Load",F60:F64),3)&amp;"(0.65)"</f>
        <v>0(0.65)</v>
      </c>
      <c r="O60" s="2" t="str">
        <f>"="</f>
        <v>=</v>
      </c>
      <c r="P60" s="20">
        <f>((SUMIF(A60:A64,"Residential Load",F60:F64)*MID(J60,LEN(J60)-3,3))/J61)+((SUMIF(A60:A64,"Commercial Load",F60:F64)*MID(L60,LEN(L60)-3,3))/L61)+((SUMIF(A60:A64,"Industrial Load",F60:F64)*MID(N60,LEN(N60)-3,3))/N61)</f>
        <v>215.1917808219178</v>
      </c>
      <c r="Q60" s="22" t="s">
        <v>75</v>
      </c>
      <c r="R60" s="2">
        <v>0.9</v>
      </c>
      <c r="S60" s="21">
        <f>P60/R60</f>
        <v>239.10197869101978</v>
      </c>
      <c r="U60" s="12" t="s">
        <v>88</v>
      </c>
      <c r="Y60">
        <f>MID(U60,9,SEARCH("T",U60,1)-14)*1</f>
        <v>300</v>
      </c>
    </row>
    <row r="61" spans="1:25" x14ac:dyDescent="0.3">
      <c r="A61" s="4" t="s">
        <v>7</v>
      </c>
      <c r="B61" s="2">
        <v>100</v>
      </c>
      <c r="C61" s="2">
        <v>20</v>
      </c>
      <c r="D61" s="2">
        <v>1</v>
      </c>
      <c r="E61" s="2">
        <v>230</v>
      </c>
      <c r="F61" s="14">
        <f>Table151129117[[#This Row],[NO. OF ESTABLISHMENTS]]*Table151129117[[#This Row],[ESTIMATED AVERAGE AMPACITY]]*Table151129117[[#This Row],[VOLTAGE]]/1000</f>
        <v>460</v>
      </c>
      <c r="J61" s="2">
        <v>2</v>
      </c>
      <c r="L61" s="2">
        <v>1.46</v>
      </c>
      <c r="N61" s="2">
        <v>0.86</v>
      </c>
    </row>
    <row r="62" spans="1:25" x14ac:dyDescent="0.3">
      <c r="A62" s="4" t="s">
        <v>8</v>
      </c>
      <c r="B62" s="2">
        <v>10</v>
      </c>
      <c r="C62" s="2">
        <v>70</v>
      </c>
      <c r="D62" s="2">
        <v>1</v>
      </c>
      <c r="E62" s="2">
        <v>230</v>
      </c>
      <c r="F62" s="14">
        <f>Table151129117[[#This Row],[NO. OF ESTABLISHMENTS]]*Table151129117[[#This Row],[ESTIMATED AVERAGE AMPACITY]]*Table151129117[[#This Row],[VOLTAGE]]/1000</f>
        <v>161</v>
      </c>
    </row>
    <row r="63" spans="1:25" x14ac:dyDescent="0.3">
      <c r="A63" s="4" t="s">
        <v>9</v>
      </c>
      <c r="B63" s="2">
        <v>0</v>
      </c>
      <c r="C63" s="2">
        <v>0</v>
      </c>
      <c r="D63" s="2">
        <v>0</v>
      </c>
      <c r="E63" s="2">
        <v>0</v>
      </c>
      <c r="F63" s="14">
        <v>0</v>
      </c>
      <c r="H63" t="s">
        <v>79</v>
      </c>
      <c r="I63" s="2" t="str">
        <f>"="</f>
        <v>=</v>
      </c>
      <c r="J63" s="2" t="str">
        <f>IF((COUNTIF(A60:A64,"Commercial Load (Bulk)")&gt;0),TRUNC(LOOKUP("Commercial Load (Bulk)",A60:A64,F60:F64))&amp;"(0.7)",IF(COUNTIF(A60:A64,"Industrial Load (Bulk)")&gt;0,TRUNC(LOOKUP("Industrial Load (Bulk)",A60:A64,F60:F64))&amp;"(0.7)",""))</f>
        <v/>
      </c>
      <c r="P63" s="24" t="str">
        <f>IF((COUNTIF(A60:A64,"Commercial Load (Bulk)")&gt;0),(LOOKUP("Commercial Load (Bulk)",A60:A64,F60:F64)*MID(J63,LEN(J63)-3,3))/J64,IF(COUNTIF(A60:A64,"Industrial Load (Bulk)")&gt;0,(LOOKUP("Industrial Load (Bulk)",A60:A64,F60:F64)*MID(J63,LEN(J63)-3,3))/J64,""))</f>
        <v/>
      </c>
      <c r="R63" s="2"/>
      <c r="S63" s="21" t="str">
        <f>IF(ISBLANK(R63),"",P63/R63)</f>
        <v/>
      </c>
    </row>
    <row r="64" spans="1:25" x14ac:dyDescent="0.3">
      <c r="A64" s="4"/>
      <c r="B64" s="2"/>
      <c r="C64" s="2"/>
      <c r="D64" s="2"/>
      <c r="E64" s="2"/>
      <c r="F64" s="14"/>
      <c r="J64" s="23" t="str">
        <f>IF((COUNTIF(A60:A64,"Commercial Load (Bulk)")&gt;0),"0.9",IF(COUNTIF(A60:A64,"Industrial Load (Bulk)")&gt;0,"0.9",""))</f>
        <v/>
      </c>
      <c r="R64" s="2"/>
      <c r="S64" s="21"/>
    </row>
    <row r="65" spans="1:25" x14ac:dyDescent="0.3">
      <c r="A65" s="4"/>
      <c r="B65" s="2"/>
      <c r="C65" s="2"/>
      <c r="D65" s="2"/>
      <c r="E65" s="2"/>
      <c r="F65" s="14"/>
    </row>
    <row r="66" spans="1:25" x14ac:dyDescent="0.3">
      <c r="A66" s="3" t="s">
        <v>50</v>
      </c>
      <c r="B66" s="2"/>
      <c r="C66" s="2"/>
      <c r="D66" s="2"/>
      <c r="E66" s="2"/>
      <c r="F66" s="14"/>
    </row>
    <row r="67" spans="1:25" ht="15" thickBot="1" x14ac:dyDescent="0.35">
      <c r="A67" s="4"/>
      <c r="B67" s="2"/>
      <c r="C67" s="2"/>
      <c r="D67" s="2"/>
      <c r="E67" s="2"/>
      <c r="F67" s="14"/>
      <c r="R67" s="2" t="s">
        <v>76</v>
      </c>
      <c r="S67" s="25" t="s">
        <v>77</v>
      </c>
    </row>
    <row r="68" spans="1:25" ht="15" thickBot="1" x14ac:dyDescent="0.35">
      <c r="A68" s="5" t="s">
        <v>1</v>
      </c>
      <c r="B68" s="1" t="s">
        <v>2</v>
      </c>
      <c r="C68" s="1" t="s">
        <v>3</v>
      </c>
      <c r="D68" s="1" t="s">
        <v>4</v>
      </c>
      <c r="E68" s="1" t="s">
        <v>5</v>
      </c>
      <c r="F68" s="15" t="s">
        <v>6</v>
      </c>
      <c r="H68" t="s">
        <v>72</v>
      </c>
      <c r="I68" s="2" t="s">
        <v>73</v>
      </c>
      <c r="J68" s="13" t="str">
        <f>TRUNC(SUMIF(A68:A72,"Residential Load",F68:F72),3)&amp;"(0.6)"</f>
        <v>690(0.6)</v>
      </c>
      <c r="K68" s="2" t="s">
        <v>74</v>
      </c>
      <c r="L68" s="13" t="str">
        <f>TRUNC(SUMIF(A68:A72,"Commercial Load",F68:F72),3)&amp;"(0.7)"</f>
        <v>414(0.7)</v>
      </c>
      <c r="M68" s="2" t="s">
        <v>74</v>
      </c>
      <c r="N68" s="13" t="str">
        <f>TRUNC(SUMIF(A68:A72,"Industrial Load",F68:F72),3)&amp;"(0.65)"</f>
        <v>0(0.65)</v>
      </c>
      <c r="O68" s="2" t="str">
        <f>"="</f>
        <v>=</v>
      </c>
      <c r="P68" s="20">
        <f>((SUMIF(A68:A72,"Residential Load",F68:F72)*MID(J68,LEN(J68)-3,3))/J69)+((SUMIF(A68:A72,"Commercial Load",F68:F72)*MID(L68,LEN(L68)-3,3))/L69)+((SUMIF(A68:A72,"Industrial Load",F68:F72)*MID(N68,LEN(N68)-3,3))/N69)</f>
        <v>405.49315068493149</v>
      </c>
      <c r="Q68" s="22" t="s">
        <v>75</v>
      </c>
      <c r="R68" s="2">
        <v>0.9</v>
      </c>
      <c r="S68" s="21">
        <f>P68/R68</f>
        <v>450.54794520547944</v>
      </c>
      <c r="U68" s="12" t="s">
        <v>96</v>
      </c>
      <c r="Y68">
        <f>MID(U68,9,SEARCH("T",U68,1)-14)*1</f>
        <v>500</v>
      </c>
    </row>
    <row r="69" spans="1:25" x14ac:dyDescent="0.3">
      <c r="A69" s="4" t="s">
        <v>7</v>
      </c>
      <c r="B69" s="2">
        <v>120</v>
      </c>
      <c r="C69" s="2">
        <v>25</v>
      </c>
      <c r="D69" s="2">
        <v>1</v>
      </c>
      <c r="E69" s="2">
        <v>230</v>
      </c>
      <c r="F69" s="14">
        <f>Table161230118[[#This Row],[NO. OF ESTABLISHMENTS]]*Table161230118[[#This Row],[ESTIMATED AVERAGE AMPACITY]]*Table161230118[[#This Row],[VOLTAGE]]/1000</f>
        <v>690</v>
      </c>
      <c r="J69" s="2">
        <v>2</v>
      </c>
      <c r="L69" s="2">
        <v>1.46</v>
      </c>
      <c r="N69" s="2">
        <v>0.86</v>
      </c>
    </row>
    <row r="70" spans="1:25" x14ac:dyDescent="0.3">
      <c r="A70" s="4" t="s">
        <v>8</v>
      </c>
      <c r="B70" s="2">
        <v>20</v>
      </c>
      <c r="C70" s="2">
        <v>90</v>
      </c>
      <c r="D70" s="2">
        <v>1</v>
      </c>
      <c r="E70" s="2">
        <v>230</v>
      </c>
      <c r="F70" s="14">
        <f>Table161230118[[#This Row],[NO. OF ESTABLISHMENTS]]*Table161230118[[#This Row],[ESTIMATED AVERAGE AMPACITY]]*Table161230118[[#This Row],[VOLTAGE]]/1000</f>
        <v>414</v>
      </c>
    </row>
    <row r="71" spans="1:25" x14ac:dyDescent="0.3">
      <c r="A71" s="4" t="s">
        <v>78</v>
      </c>
      <c r="B71" s="2">
        <v>1</v>
      </c>
      <c r="C71" s="2">
        <v>4000</v>
      </c>
      <c r="D71" s="2">
        <v>3</v>
      </c>
      <c r="E71" s="2">
        <v>400</v>
      </c>
      <c r="F71" s="14">
        <f>SQRT(3)*Table161230118[[#This Row],[NO. OF ESTABLISHMENTS]]*Table161230118[[#This Row],[ESTIMATED AVERAGE AMPACITY]]*Table161230118[[#This Row],[VOLTAGE]]/1000</f>
        <v>2771.2812921102031</v>
      </c>
      <c r="H71" t="s">
        <v>79</v>
      </c>
      <c r="I71" s="2" t="str">
        <f>"="</f>
        <v>=</v>
      </c>
      <c r="J71" s="2" t="str">
        <f>IF((COUNTIF(A68:A72,"Commercial Load (Bulk)")&gt;0),TRUNC(LOOKUP("Commercial Load (Bulk)",A68:A72,F68:F72))&amp;"(0.7)",IF(COUNTIF(A68:A72,"Industrial Load (Bulk)")&gt;0,TRUNC(LOOKUP("Industrial Load (Bulk)",A68:A72,F68:F72))&amp;"(0.7)",""))</f>
        <v>2771(0.7)</v>
      </c>
      <c r="P71" s="24">
        <f>IF((COUNTIF(A68:A72,"Commercial Load (Bulk)")&gt;0),(LOOKUP("Commercial Load (Bulk)",A68:A72,F68:F72)*MID(J71,LEN(J71)-3,3))/J72,IF(COUNTIF(A68:A72,"Industrial Load (Bulk)")&gt;0,(LOOKUP("Industrial Load (Bulk)",A68:A72,F68:F72)*MID(J71,LEN(J71)-3,3))/J72,""))</f>
        <v>2155.441004974602</v>
      </c>
      <c r="Q71" s="12" t="s">
        <v>77</v>
      </c>
      <c r="R71" s="2"/>
      <c r="S71" s="21" t="str">
        <f>IF(ISBLANK(R71),"",P71/R71)</f>
        <v/>
      </c>
      <c r="U71" s="12" t="s">
        <v>93</v>
      </c>
      <c r="Y71">
        <f>MID(U71,9,SEARCH("T",U71,1)-14)*1</f>
        <v>2500</v>
      </c>
    </row>
    <row r="72" spans="1:25" x14ac:dyDescent="0.3">
      <c r="A72" s="4" t="s">
        <v>9</v>
      </c>
      <c r="B72" s="2">
        <v>0</v>
      </c>
      <c r="C72" s="2">
        <v>0</v>
      </c>
      <c r="D72" s="2">
        <v>0</v>
      </c>
      <c r="E72" s="2">
        <v>0</v>
      </c>
      <c r="F72" s="14">
        <v>0</v>
      </c>
      <c r="J72" s="23" t="str">
        <f>IF((COUNTIF(A68:A72,"Commercial Load (Bulk)")&gt;0),"0.9",IF(COUNTIF(A68:A72,"Industrial Load (Bulk)")&gt;0,"0.9",""))</f>
        <v>0.9</v>
      </c>
      <c r="R72" s="2"/>
      <c r="S72" s="21"/>
    </row>
    <row r="73" spans="1:25" x14ac:dyDescent="0.3">
      <c r="A73" s="4"/>
      <c r="B73" s="2"/>
      <c r="C73" s="2"/>
      <c r="D73" s="2"/>
      <c r="E73" s="2"/>
      <c r="F73" s="14"/>
    </row>
    <row r="74" spans="1:25" x14ac:dyDescent="0.3">
      <c r="A74" s="4"/>
      <c r="B74" s="2"/>
      <c r="C74" s="2"/>
      <c r="D74" s="2"/>
      <c r="E74" s="2"/>
      <c r="F74" s="14"/>
    </row>
    <row r="75" spans="1:25" x14ac:dyDescent="0.3">
      <c r="A75" s="3" t="s">
        <v>51</v>
      </c>
      <c r="B75" s="2"/>
      <c r="C75" s="2"/>
      <c r="D75" s="2"/>
      <c r="E75" s="2"/>
      <c r="F75" s="14"/>
    </row>
    <row r="76" spans="1:25" ht="15" thickBot="1" x14ac:dyDescent="0.35">
      <c r="A76" s="4"/>
      <c r="B76" s="2"/>
      <c r="C76" s="2"/>
      <c r="D76" s="2"/>
      <c r="E76" s="2"/>
      <c r="F76" s="14"/>
      <c r="R76" s="2" t="s">
        <v>76</v>
      </c>
      <c r="S76" s="25" t="s">
        <v>77</v>
      </c>
    </row>
    <row r="77" spans="1:25" ht="15" thickBot="1" x14ac:dyDescent="0.35">
      <c r="A77" s="5" t="s">
        <v>1</v>
      </c>
      <c r="B77" s="1" t="s">
        <v>2</v>
      </c>
      <c r="C77" s="1" t="s">
        <v>3</v>
      </c>
      <c r="D77" s="1" t="s">
        <v>4</v>
      </c>
      <c r="E77" s="1" t="s">
        <v>5</v>
      </c>
      <c r="F77" s="15" t="s">
        <v>6</v>
      </c>
      <c r="H77" t="s">
        <v>72</v>
      </c>
      <c r="I77" s="2" t="s">
        <v>73</v>
      </c>
      <c r="J77" s="13" t="str">
        <f>TRUNC(SUMIF(A77:A81,"Residential Load",F77:F81),3)&amp;"(0.6)"</f>
        <v>414(0.6)</v>
      </c>
      <c r="K77" s="2" t="s">
        <v>74</v>
      </c>
      <c r="L77" s="13" t="str">
        <f>TRUNC(SUMIF(A77:A81,"Commercial Load",F77:F81),3)&amp;"(0.7)"</f>
        <v>74.75(0.7)</v>
      </c>
      <c r="M77" s="2" t="s">
        <v>74</v>
      </c>
      <c r="N77" s="13" t="str">
        <f>TRUNC(SUMIF(A77:A81,"Industrial Load",F77:F81),3)&amp;"(0.65)"</f>
        <v>0(0.65)</v>
      </c>
      <c r="O77" s="2" t="str">
        <f>"="</f>
        <v>=</v>
      </c>
      <c r="P77" s="20">
        <f>((SUMIF(A77:A81,"Residential Load",F77:F81)*MID(J77,LEN(J77)-3,3))/J78)+((SUMIF(A77:A81,"Commercial Load",F77:F81)*MID(L77,LEN(L77)-3,3))/L78)+((SUMIF(A77:A81,"Industrial Load",F77:F81)*MID(N77,LEN(N77)-3,3))/N78)</f>
        <v>160.03904109589041</v>
      </c>
      <c r="Q77" s="22" t="s">
        <v>75</v>
      </c>
      <c r="R77" s="2">
        <v>0.9</v>
      </c>
      <c r="S77" s="21">
        <f>P77/R77</f>
        <v>177.82115677321156</v>
      </c>
      <c r="U77" s="12" t="s">
        <v>97</v>
      </c>
      <c r="Y77">
        <f>MID(U77,9,SEARCH("T",U77,1)-14)*1</f>
        <v>225</v>
      </c>
    </row>
    <row r="78" spans="1:25" x14ac:dyDescent="0.3">
      <c r="A78" s="4" t="s">
        <v>7</v>
      </c>
      <c r="B78" s="2">
        <v>90</v>
      </c>
      <c r="C78" s="2">
        <v>20</v>
      </c>
      <c r="D78" s="2">
        <v>1</v>
      </c>
      <c r="E78" s="2">
        <v>230</v>
      </c>
      <c r="F78" s="14">
        <f>Table171331119[[#This Row],[NO. OF ESTABLISHMENTS]]*Table171331119[[#This Row],[ESTIMATED AVERAGE AMPACITY]]*Table171331119[[#This Row],[VOLTAGE]]/1000</f>
        <v>414</v>
      </c>
      <c r="J78" s="2">
        <v>2</v>
      </c>
      <c r="L78" s="2">
        <v>1.46</v>
      </c>
      <c r="N78" s="2">
        <v>0.86</v>
      </c>
    </row>
    <row r="79" spans="1:25" x14ac:dyDescent="0.3">
      <c r="A79" s="4" t="s">
        <v>8</v>
      </c>
      <c r="B79" s="2">
        <v>5</v>
      </c>
      <c r="C79" s="2">
        <v>65</v>
      </c>
      <c r="D79" s="2">
        <v>1</v>
      </c>
      <c r="E79" s="2">
        <v>230</v>
      </c>
      <c r="F79" s="14">
        <f>Table171331119[[#This Row],[NO. OF ESTABLISHMENTS]]*Table171331119[[#This Row],[ESTIMATED AVERAGE AMPACITY]]*Table171331119[[#This Row],[VOLTAGE]]/1000</f>
        <v>74.75</v>
      </c>
    </row>
    <row r="80" spans="1:25" x14ac:dyDescent="0.3">
      <c r="A80" s="4" t="s">
        <v>9</v>
      </c>
      <c r="B80" s="2">
        <v>0</v>
      </c>
      <c r="C80" s="2">
        <v>0</v>
      </c>
      <c r="D80" s="2">
        <v>0</v>
      </c>
      <c r="E80" s="2">
        <v>0</v>
      </c>
      <c r="F80" s="14">
        <v>0</v>
      </c>
      <c r="H80" t="s">
        <v>79</v>
      </c>
      <c r="I80" s="2" t="str">
        <f>"="</f>
        <v>=</v>
      </c>
      <c r="J80" s="2" t="str">
        <f>IF((COUNTIF(A77:A81,"Commercial Load (Bulk)")&gt;0),TRUNC(LOOKUP("Commercial Load (Bulk)",A77:A81,F77:F81))&amp;"(0.7)",IF(COUNTIF(A77:A81,"Industrial Load (Bulk)")&gt;0,TRUNC(LOOKUP("Industrial Load (Bulk)",A77:A81,F77:F81))&amp;"(0.7)",""))</f>
        <v/>
      </c>
      <c r="P80" s="24" t="str">
        <f>IF((COUNTIF(A77:A81,"Commercial Load (Bulk)")&gt;0),(LOOKUP("Commercial Load (Bulk)",A77:A81,F77:F81)*MID(J80,LEN(J80)-3,3))/J81,IF(COUNTIF(A77:A81,"Industrial Load (Bulk)")&gt;0,(LOOKUP("Industrial Load (Bulk)",A77:A81,F77:F81)*MID(J80,LEN(J80)-3,3))/J81,""))</f>
        <v/>
      </c>
      <c r="R80" s="2"/>
      <c r="S80" s="21" t="str">
        <f>IF(ISBLANK(R80),"",P80/R80)</f>
        <v/>
      </c>
    </row>
    <row r="81" spans="1:25" x14ac:dyDescent="0.3">
      <c r="A81" s="4"/>
      <c r="B81" s="2"/>
      <c r="C81" s="2"/>
      <c r="D81" s="2"/>
      <c r="E81" s="2"/>
      <c r="F81" s="14"/>
      <c r="J81" s="23" t="str">
        <f>IF((COUNTIF(A77:A81,"Commercial Load (Bulk)")&gt;0),"0.9",IF(COUNTIF(A77:A81,"Industrial Load (Bulk)")&gt;0,"0.9",""))</f>
        <v/>
      </c>
      <c r="R81" s="2"/>
      <c r="S81" s="21"/>
    </row>
    <row r="82" spans="1:25" x14ac:dyDescent="0.3">
      <c r="A82" s="4"/>
      <c r="B82" s="2"/>
      <c r="C82" s="2"/>
      <c r="D82" s="2"/>
      <c r="E82" s="2"/>
      <c r="F82" s="14"/>
    </row>
    <row r="83" spans="1:25" x14ac:dyDescent="0.3">
      <c r="A83" s="3" t="s">
        <v>52</v>
      </c>
      <c r="B83" s="2"/>
      <c r="C83" s="2"/>
      <c r="D83" s="2"/>
      <c r="E83" s="2"/>
      <c r="F83" s="14"/>
    </row>
    <row r="84" spans="1:25" ht="15" thickBot="1" x14ac:dyDescent="0.35">
      <c r="A84" s="4"/>
      <c r="B84" s="2"/>
      <c r="C84" s="2"/>
      <c r="D84" s="2"/>
      <c r="E84" s="2"/>
      <c r="F84" s="14"/>
      <c r="R84" s="2" t="s">
        <v>76</v>
      </c>
      <c r="S84" s="25" t="s">
        <v>77</v>
      </c>
    </row>
    <row r="85" spans="1:25" ht="15" thickBot="1" x14ac:dyDescent="0.35">
      <c r="A85" s="5" t="s">
        <v>1</v>
      </c>
      <c r="B85" s="1" t="s">
        <v>2</v>
      </c>
      <c r="C85" s="1" t="s">
        <v>3</v>
      </c>
      <c r="D85" s="1" t="s">
        <v>4</v>
      </c>
      <c r="E85" s="1" t="s">
        <v>5</v>
      </c>
      <c r="F85" s="15" t="s">
        <v>6</v>
      </c>
      <c r="H85" t="s">
        <v>72</v>
      </c>
      <c r="I85" s="2" t="s">
        <v>73</v>
      </c>
      <c r="J85" s="13" t="str">
        <f>TRUNC(SUMIF(A85:A89,"Residential Load",F85:F89),3)&amp;"(0.6)"</f>
        <v>414(0.6)</v>
      </c>
      <c r="K85" s="2" t="s">
        <v>74</v>
      </c>
      <c r="L85" s="13" t="str">
        <f>TRUNC(SUMIF(A85:A89,"Commercial Load",F85:F89),3)&amp;"(0.7)"</f>
        <v>74.75(0.7)</v>
      </c>
      <c r="M85" s="2" t="s">
        <v>74</v>
      </c>
      <c r="N85" s="13" t="str">
        <f>TRUNC(SUMIF(A85:A89,"Industrial Load",F85:F89),3)&amp;"(0.65)"</f>
        <v>0(0.65)</v>
      </c>
      <c r="O85" s="2" t="str">
        <f>"="</f>
        <v>=</v>
      </c>
      <c r="P85" s="20">
        <f>((SUMIF(A85:A89,"Residential Load",F85:F89)*MID(J85,LEN(J85)-3,3))/J86)+((SUMIF(A85:A89,"Commercial Load",F85:F89)*MID(L85,LEN(L85)-3,3))/L86)+((SUMIF(A85:A89,"Industrial Load",F85:F89)*MID(N85,LEN(N85)-3,3))/N86)</f>
        <v>160.03904109589041</v>
      </c>
      <c r="Q85" s="22" t="s">
        <v>75</v>
      </c>
      <c r="R85" s="2">
        <v>0.9</v>
      </c>
      <c r="S85" s="21">
        <f>P85/R85</f>
        <v>177.82115677321156</v>
      </c>
      <c r="U85" s="12" t="s">
        <v>97</v>
      </c>
      <c r="Y85">
        <f>MID(U85,9,SEARCH("T",U85,1)-14)*1</f>
        <v>225</v>
      </c>
    </row>
    <row r="86" spans="1:25" x14ac:dyDescent="0.3">
      <c r="A86" s="4" t="s">
        <v>7</v>
      </c>
      <c r="B86" s="2">
        <v>90</v>
      </c>
      <c r="C86" s="2">
        <v>20</v>
      </c>
      <c r="D86" s="2">
        <v>1</v>
      </c>
      <c r="E86" s="2">
        <v>230</v>
      </c>
      <c r="F86" s="14">
        <f>Table1581432120[[#This Row],[NO. OF ESTABLISHMENTS]]*Table1581432120[[#This Row],[ESTIMATED AVERAGE AMPACITY]]*Table1581432120[[#This Row],[VOLTAGE]]/1000</f>
        <v>414</v>
      </c>
      <c r="J86" s="2">
        <v>2</v>
      </c>
      <c r="L86" s="2">
        <v>1.46</v>
      </c>
      <c r="N86" s="2">
        <v>0.86</v>
      </c>
    </row>
    <row r="87" spans="1:25" x14ac:dyDescent="0.3">
      <c r="A87" s="4" t="s">
        <v>8</v>
      </c>
      <c r="B87" s="2">
        <v>5</v>
      </c>
      <c r="C87" s="2">
        <v>65</v>
      </c>
      <c r="D87" s="2">
        <v>1</v>
      </c>
      <c r="E87" s="2">
        <v>230</v>
      </c>
      <c r="F87" s="14">
        <f>Table1581432120[[#This Row],[NO. OF ESTABLISHMENTS]]*Table1581432120[[#This Row],[ESTIMATED AVERAGE AMPACITY]]*Table1581432120[[#This Row],[VOLTAGE]]/1000</f>
        <v>74.75</v>
      </c>
    </row>
    <row r="88" spans="1:25" x14ac:dyDescent="0.3">
      <c r="A88" s="4" t="s">
        <v>9</v>
      </c>
      <c r="B88" s="2">
        <v>0</v>
      </c>
      <c r="C88" s="2">
        <v>0</v>
      </c>
      <c r="D88" s="2">
        <v>0</v>
      </c>
      <c r="E88" s="2">
        <v>0</v>
      </c>
      <c r="F88" s="14">
        <v>0</v>
      </c>
      <c r="H88" t="s">
        <v>79</v>
      </c>
      <c r="I88" s="2" t="str">
        <f>"="</f>
        <v>=</v>
      </c>
      <c r="J88" s="2" t="str">
        <f>IF((COUNTIF(A85:A89,"Commercial Load (Bulk)")&gt;0),TRUNC(LOOKUP("Commercial Load (Bulk)",A85:A89,F85:F89))&amp;"(0.7)",IF(COUNTIF(A85:A89,"Industrial Load (Bulk)")&gt;0,TRUNC(LOOKUP("Industrial Load (Bulk)",A85:A89,F85:F89))&amp;"(0.7)",""))</f>
        <v/>
      </c>
      <c r="P88" s="24" t="str">
        <f>IF((COUNTIF(A85:A89,"Commercial Load (Bulk)")&gt;0),(LOOKUP("Commercial Load (Bulk)",A85:A89,F85:F89)*MID(J88,LEN(J88)-3,3))/J89,IF(COUNTIF(A85:A89,"Industrial Load (Bulk)")&gt;0,(LOOKUP("Industrial Load (Bulk)",A85:A89,F85:F89)*MID(J88,LEN(J88)-3,3))/J89,""))</f>
        <v/>
      </c>
      <c r="R88" s="2"/>
      <c r="S88" s="21" t="str">
        <f>IF(ISBLANK(R88),"",P88/R88)</f>
        <v/>
      </c>
    </row>
    <row r="89" spans="1:25" x14ac:dyDescent="0.3">
      <c r="A89" s="4"/>
      <c r="B89" s="2"/>
      <c r="C89" s="2"/>
      <c r="D89" s="2"/>
      <c r="E89" s="2"/>
      <c r="F89" s="14"/>
      <c r="J89" s="23" t="str">
        <f>IF((COUNTIF(A85:A89,"Commercial Load (Bulk)")&gt;0),"0.9",IF(COUNTIF(A85:A89,"Industrial Load (Bulk)")&gt;0,"0.9",""))</f>
        <v/>
      </c>
      <c r="R89" s="2"/>
      <c r="S89" s="21"/>
    </row>
    <row r="90" spans="1:25" x14ac:dyDescent="0.3">
      <c r="A90" s="4"/>
      <c r="B90" s="2"/>
      <c r="C90" s="2"/>
      <c r="D90" s="2"/>
      <c r="E90" s="2"/>
      <c r="F90" s="14"/>
    </row>
    <row r="91" spans="1:25" x14ac:dyDescent="0.3">
      <c r="A91" s="3" t="s">
        <v>53</v>
      </c>
      <c r="B91" s="2"/>
      <c r="C91" s="2"/>
      <c r="D91" s="2"/>
      <c r="E91" s="2"/>
      <c r="F91" s="14"/>
    </row>
    <row r="92" spans="1:25" ht="15" thickBot="1" x14ac:dyDescent="0.35">
      <c r="A92" s="4"/>
      <c r="B92" s="2"/>
      <c r="C92" s="2"/>
      <c r="D92" s="2"/>
      <c r="E92" s="2"/>
      <c r="F92" s="14"/>
      <c r="R92" s="2" t="s">
        <v>76</v>
      </c>
      <c r="S92" s="25" t="s">
        <v>77</v>
      </c>
    </row>
    <row r="93" spans="1:25" ht="15" thickBot="1" x14ac:dyDescent="0.35">
      <c r="A93" s="5" t="s">
        <v>1</v>
      </c>
      <c r="B93" s="1" t="s">
        <v>2</v>
      </c>
      <c r="C93" s="1" t="s">
        <v>3</v>
      </c>
      <c r="D93" s="1" t="s">
        <v>4</v>
      </c>
      <c r="E93" s="1" t="s">
        <v>5</v>
      </c>
      <c r="F93" s="15" t="s">
        <v>6</v>
      </c>
      <c r="H93" t="s">
        <v>72</v>
      </c>
      <c r="I93" s="2" t="s">
        <v>73</v>
      </c>
      <c r="J93" s="13" t="str">
        <f>TRUNC(SUMIF(A93:A97,"Residential Load",F93:F97),3)&amp;"(0.6)"</f>
        <v>483(0.6)</v>
      </c>
      <c r="K93" s="2" t="s">
        <v>74</v>
      </c>
      <c r="L93" s="13" t="str">
        <f>TRUNC(SUMIF(A93:A97,"Commercial Load",F93:F97),3)&amp;"(0.7)"</f>
        <v>258.75(0.7)</v>
      </c>
      <c r="M93" s="2" t="s">
        <v>74</v>
      </c>
      <c r="N93" s="13" t="str">
        <f>TRUNC(SUMIF(A93:A97,"Industrial Load",F93:F97),3)&amp;"(0.65)"</f>
        <v>0(0.65)</v>
      </c>
      <c r="O93" s="2" t="str">
        <f>"="</f>
        <v>=</v>
      </c>
      <c r="P93" s="20">
        <f>((SUMIF(A93:A97,"Residential Load",F93:F97)*MID(J93,LEN(J93)-3,3))/J94)+((SUMIF(A93:A97,"Commercial Load",F93:F97)*MID(L93,LEN(L93)-3,3))/L94)+((SUMIF(A93:A97,"Industrial Load",F93:F97)*MID(N93,LEN(N93)-3,3))/N94)</f>
        <v>268.95821917808223</v>
      </c>
      <c r="Q93" s="22" t="s">
        <v>75</v>
      </c>
      <c r="R93" s="2">
        <v>0.9</v>
      </c>
      <c r="S93" s="21">
        <f>P93/R93</f>
        <v>298.84246575342468</v>
      </c>
      <c r="U93" s="12" t="s">
        <v>88</v>
      </c>
      <c r="Y93">
        <f>MID(U93,9,SEARCH("T",U93,1)-14)*1</f>
        <v>300</v>
      </c>
    </row>
    <row r="94" spans="1:25" x14ac:dyDescent="0.3">
      <c r="A94" s="4" t="s">
        <v>7</v>
      </c>
      <c r="B94" s="2">
        <v>70</v>
      </c>
      <c r="C94" s="2">
        <v>30</v>
      </c>
      <c r="D94" s="2">
        <v>1</v>
      </c>
      <c r="E94" s="2">
        <v>230</v>
      </c>
      <c r="F94" s="14">
        <f>Table1691533121[[#This Row],[NO. OF ESTABLISHMENTS]]*Table1691533121[[#This Row],[ESTIMATED AVERAGE AMPACITY]]*Table1691533121[[#This Row],[VOLTAGE]]/1000</f>
        <v>483</v>
      </c>
      <c r="J94" s="2">
        <v>2</v>
      </c>
      <c r="L94" s="2">
        <v>1.46</v>
      </c>
      <c r="N94" s="2">
        <v>0.86</v>
      </c>
    </row>
    <row r="95" spans="1:25" x14ac:dyDescent="0.3">
      <c r="A95" s="4" t="s">
        <v>8</v>
      </c>
      <c r="B95" s="2">
        <v>15</v>
      </c>
      <c r="C95" s="2">
        <v>75</v>
      </c>
      <c r="D95" s="2">
        <v>1</v>
      </c>
      <c r="E95" s="2">
        <v>230</v>
      </c>
      <c r="F95" s="14">
        <f>Table1691533121[[#This Row],[NO. OF ESTABLISHMENTS]]*Table1691533121[[#This Row],[ESTIMATED AVERAGE AMPACITY]]*Table1691533121[[#This Row],[VOLTAGE]]/1000</f>
        <v>258.75</v>
      </c>
    </row>
    <row r="96" spans="1:25" x14ac:dyDescent="0.3">
      <c r="A96" s="4" t="s">
        <v>78</v>
      </c>
      <c r="B96" s="2">
        <v>1</v>
      </c>
      <c r="C96" s="2">
        <v>4300</v>
      </c>
      <c r="D96" s="2">
        <v>3</v>
      </c>
      <c r="E96" s="2">
        <v>400</v>
      </c>
      <c r="F96" s="14">
        <f>Table1691533121[[#This Row],[NO. OF ESTABLISHMENTS]]*Table1691533121[[#This Row],[ESTIMATED AVERAGE AMPACITY]]*Table1691533121[[#This Row],[VOLTAGE]]*SQRT(3)/1000</f>
        <v>2979.1273890184684</v>
      </c>
      <c r="H96" t="s">
        <v>79</v>
      </c>
      <c r="I96" s="2" t="str">
        <f>"="</f>
        <v>=</v>
      </c>
      <c r="J96" s="2" t="str">
        <f>IF((COUNTIF(A93:A97,"Commercial Load (Bulk)")&gt;0),TRUNC(LOOKUP("Commercial Load (Bulk)",A93:A97,F93:F97))&amp;"(0.7)",IF(COUNTIF(A93:A97,"Industrial Load (Bulk)")&gt;0,TRUNC(LOOKUP("Industrial Load (Bulk)",A93:A97,F93:F97))&amp;"(0.7)",""))</f>
        <v>2979(0.7)</v>
      </c>
      <c r="P96" s="24">
        <f>IF((COUNTIF(A93:A97,"Commercial Load (Bulk)")&gt;0),(LOOKUP("Commercial Load (Bulk)",A93:A97,F93:F97)*MID(J96,LEN(J96)-3,3))/J97,IF(COUNTIF(A93:A97,"Industrial Load (Bulk)")&gt;0,(LOOKUP("Industrial Load (Bulk)",A93:A97,F93:F97)*MID(J96,LEN(J96)-3,3))/J97,""))</f>
        <v>2317.0990803476975</v>
      </c>
      <c r="Q96" s="12" t="s">
        <v>77</v>
      </c>
      <c r="R96" s="2"/>
      <c r="S96" s="21" t="str">
        <f>IF(ISBLANK(R96),"",P96/R96)</f>
        <v/>
      </c>
      <c r="U96" s="12" t="s">
        <v>93</v>
      </c>
      <c r="Y96">
        <f>MID(U96,9,SEARCH("T",U96,1)-14)*1</f>
        <v>2500</v>
      </c>
    </row>
    <row r="97" spans="1:25" x14ac:dyDescent="0.3">
      <c r="A97" s="4" t="s">
        <v>9</v>
      </c>
      <c r="B97" s="2">
        <v>0</v>
      </c>
      <c r="C97" s="2">
        <v>0</v>
      </c>
      <c r="D97" s="2">
        <v>0</v>
      </c>
      <c r="E97" s="2">
        <v>0</v>
      </c>
      <c r="F97" s="14">
        <v>0</v>
      </c>
      <c r="J97" s="23" t="str">
        <f>IF((COUNTIF(A93:A97,"Commercial Load (Bulk)")&gt;0),"0.9",IF(COUNTIF(A93:A97,"Industrial Load (Bulk)")&gt;0,"0.9",""))</f>
        <v>0.9</v>
      </c>
      <c r="R97" s="2"/>
      <c r="S97" s="21"/>
    </row>
    <row r="98" spans="1:25" x14ac:dyDescent="0.3">
      <c r="A98" s="4"/>
      <c r="B98" s="2"/>
      <c r="C98" s="2"/>
      <c r="D98" s="2"/>
      <c r="E98" s="2"/>
      <c r="F98" s="14"/>
    </row>
    <row r="99" spans="1:25" x14ac:dyDescent="0.3">
      <c r="A99" s="4"/>
      <c r="B99" s="2"/>
      <c r="C99" s="2"/>
      <c r="D99" s="2"/>
      <c r="E99" s="2"/>
      <c r="F99" s="14"/>
    </row>
    <row r="100" spans="1:25" x14ac:dyDescent="0.3">
      <c r="A100" s="3" t="s">
        <v>54</v>
      </c>
      <c r="B100" s="2"/>
      <c r="C100" s="2"/>
      <c r="D100" s="2"/>
      <c r="E100" s="2"/>
      <c r="F100" s="14"/>
    </row>
    <row r="101" spans="1:25" ht="15" thickBot="1" x14ac:dyDescent="0.35">
      <c r="A101" s="4"/>
      <c r="B101" s="2"/>
      <c r="C101" s="2"/>
      <c r="D101" s="2"/>
      <c r="E101" s="2"/>
      <c r="F101" s="14"/>
      <c r="R101" s="2" t="s">
        <v>76</v>
      </c>
      <c r="S101" s="25" t="s">
        <v>77</v>
      </c>
    </row>
    <row r="102" spans="1:25" ht="15" thickBot="1" x14ac:dyDescent="0.35">
      <c r="A102" s="5" t="s">
        <v>1</v>
      </c>
      <c r="B102" s="1" t="s">
        <v>2</v>
      </c>
      <c r="C102" s="1" t="s">
        <v>3</v>
      </c>
      <c r="D102" s="1" t="s">
        <v>4</v>
      </c>
      <c r="E102" s="1" t="s">
        <v>5</v>
      </c>
      <c r="F102" s="15" t="s">
        <v>6</v>
      </c>
      <c r="H102" t="s">
        <v>72</v>
      </c>
      <c r="I102" s="2" t="s">
        <v>73</v>
      </c>
      <c r="J102" s="13" t="str">
        <f>TRUNC(SUMIF(A102:A106,"Residential Load",F102:F106),3)&amp;"(0.6)"</f>
        <v>598(0.6)</v>
      </c>
      <c r="K102" s="2" t="s">
        <v>74</v>
      </c>
      <c r="L102" s="13" t="str">
        <f>TRUNC(SUMIF(A102:A106,"Commercial Load",F102:F106),3)&amp;"(0.7)"</f>
        <v>74.75(0.7)</v>
      </c>
      <c r="M102" s="2" t="s">
        <v>74</v>
      </c>
      <c r="N102" s="13" t="str">
        <f>TRUNC(SUMIF(A102:A106,"Industrial Load",F102:F106),3)&amp;"(0.65)"</f>
        <v>0(0.65)</v>
      </c>
      <c r="O102" s="2" t="str">
        <f>"="</f>
        <v>=</v>
      </c>
      <c r="P102" s="20">
        <f>((SUMIF(A102:A106,"Residential Load",F102:F106)*MID(J102,LEN(J102)-3,3))/J103)+((SUMIF(A102:A106,"Commercial Load",F102:F106)*MID(L102,LEN(L102)-3,3))/L103)+((SUMIF(A102:A106,"Industrial Load",F102:F106)*MID(N102,LEN(N102)-3,3))/N103)</f>
        <v>215.2390410958904</v>
      </c>
      <c r="Q102" s="22" t="s">
        <v>75</v>
      </c>
      <c r="R102" s="2">
        <v>0.9</v>
      </c>
      <c r="S102" s="21">
        <f>P102/R102</f>
        <v>239.15449010654487</v>
      </c>
      <c r="U102" s="12" t="s">
        <v>88</v>
      </c>
      <c r="Y102">
        <f>MID(U102,9,SEARCH("T",U102,1)-14)*1</f>
        <v>300</v>
      </c>
    </row>
    <row r="103" spans="1:25" x14ac:dyDescent="0.3">
      <c r="A103" s="4" t="s">
        <v>7</v>
      </c>
      <c r="B103" s="2">
        <v>130</v>
      </c>
      <c r="C103" s="2">
        <v>20</v>
      </c>
      <c r="D103" s="2">
        <v>1</v>
      </c>
      <c r="E103" s="2">
        <v>230</v>
      </c>
      <c r="F103" s="14">
        <f>Table11634122[[#This Row],[NO. OF ESTABLISHMENTS]]*Table11634122[[#This Row],[ESTIMATED AVERAGE AMPACITY]]*Table11634122[[#This Row],[VOLTAGE]]/1000</f>
        <v>598</v>
      </c>
      <c r="J103" s="2">
        <v>2</v>
      </c>
      <c r="L103" s="2">
        <v>1.46</v>
      </c>
      <c r="N103" s="2">
        <v>0.86</v>
      </c>
    </row>
    <row r="104" spans="1:25" x14ac:dyDescent="0.3">
      <c r="A104" s="4" t="s">
        <v>8</v>
      </c>
      <c r="B104" s="2">
        <v>5</v>
      </c>
      <c r="C104" s="2">
        <v>65</v>
      </c>
      <c r="D104" s="2">
        <v>1</v>
      </c>
      <c r="E104" s="2">
        <v>230</v>
      </c>
      <c r="F104" s="14">
        <f>Table11634122[[#This Row],[NO. OF ESTABLISHMENTS]]*Table11634122[[#This Row],[ESTIMATED AVERAGE AMPACITY]]*Table11634122[[#This Row],[VOLTAGE]]/1000</f>
        <v>74.75</v>
      </c>
    </row>
    <row r="105" spans="1:25" x14ac:dyDescent="0.3">
      <c r="A105" s="4" t="s">
        <v>9</v>
      </c>
      <c r="B105" s="2">
        <v>0</v>
      </c>
      <c r="C105" s="2">
        <v>0</v>
      </c>
      <c r="D105" s="2">
        <v>0</v>
      </c>
      <c r="E105" s="2">
        <v>0</v>
      </c>
      <c r="F105" s="14">
        <v>0</v>
      </c>
      <c r="H105" t="s">
        <v>79</v>
      </c>
      <c r="I105" s="2" t="str">
        <f>"="</f>
        <v>=</v>
      </c>
      <c r="J105" s="2" t="str">
        <f>IF((COUNTIF(A102:A106,"Commercial Load (Bulk)")&gt;0),TRUNC(LOOKUP("Commercial Load (Bulk)",A102:A106,F102:F106))&amp;"(0.7)",IF(COUNTIF(A102:A106,"Industrial Load (Bulk)")&gt;0,TRUNC(LOOKUP("Industrial Load (Bulk)",A102:A106,F102:F106))&amp;"(0.7)",""))</f>
        <v/>
      </c>
      <c r="P105" s="24" t="str">
        <f>IF((COUNTIF(A102:A106,"Commercial Load (Bulk)")&gt;0),(LOOKUP("Commercial Load (Bulk)",A102:A106,F102:F106)*MID(J105,LEN(J105)-3,3))/J106,IF(COUNTIF(A102:A106,"Industrial Load (Bulk)")&gt;0,(LOOKUP("Industrial Load (Bulk)",A102:A106,F102:F106)*MID(J105,LEN(J105)-3,3))/J106,""))</f>
        <v/>
      </c>
      <c r="R105" s="2"/>
      <c r="S105" s="21" t="str">
        <f>IF(ISBLANK(R105),"",P105/R105)</f>
        <v/>
      </c>
    </row>
    <row r="106" spans="1:25" x14ac:dyDescent="0.3">
      <c r="A106" s="4"/>
      <c r="B106" s="2"/>
      <c r="C106" s="2"/>
      <c r="D106" s="2"/>
      <c r="E106" s="2"/>
      <c r="F106" s="14"/>
      <c r="J106" s="23" t="str">
        <f>IF((COUNTIF(A102:A106,"Commercial Load (Bulk)")&gt;0),"0.9",IF(COUNTIF(A102:A106,"Industrial Load (Bulk)")&gt;0,"0.9",""))</f>
        <v/>
      </c>
      <c r="R106" s="2"/>
      <c r="S106" s="21"/>
    </row>
    <row r="107" spans="1:25" x14ac:dyDescent="0.3">
      <c r="A107" s="4"/>
      <c r="B107" s="2"/>
      <c r="C107" s="2"/>
      <c r="D107" s="2"/>
      <c r="E107" s="2"/>
      <c r="F107" s="14"/>
    </row>
    <row r="108" spans="1:25" x14ac:dyDescent="0.3">
      <c r="A108" s="3" t="s">
        <v>55</v>
      </c>
      <c r="B108" s="2"/>
      <c r="C108" s="2"/>
      <c r="D108" s="2"/>
      <c r="E108" s="2"/>
      <c r="F108" s="14"/>
    </row>
    <row r="109" spans="1:25" ht="15" thickBot="1" x14ac:dyDescent="0.35">
      <c r="A109" s="4"/>
      <c r="B109" s="2"/>
      <c r="C109" s="2"/>
      <c r="D109" s="2"/>
      <c r="E109" s="2"/>
      <c r="F109" s="14"/>
      <c r="R109" s="2" t="s">
        <v>76</v>
      </c>
      <c r="S109" s="25" t="s">
        <v>77</v>
      </c>
    </row>
    <row r="110" spans="1:25" ht="15" thickBot="1" x14ac:dyDescent="0.35">
      <c r="A110" s="5" t="s">
        <v>1</v>
      </c>
      <c r="B110" s="1" t="s">
        <v>2</v>
      </c>
      <c r="C110" s="1" t="s">
        <v>3</v>
      </c>
      <c r="D110" s="1" t="s">
        <v>4</v>
      </c>
      <c r="E110" s="1" t="s">
        <v>5</v>
      </c>
      <c r="F110" s="15" t="s">
        <v>6</v>
      </c>
      <c r="H110" t="s">
        <v>72</v>
      </c>
      <c r="I110" s="2" t="s">
        <v>73</v>
      </c>
      <c r="J110" s="13" t="str">
        <f>TRUNC(SUMIF(A110:A114,"Residential Load",F110:F114),3)&amp;"(0.6)"</f>
        <v>483(0.6)</v>
      </c>
      <c r="K110" s="2" t="s">
        <v>74</v>
      </c>
      <c r="L110" s="13" t="str">
        <f>TRUNC(SUMIF(A110:A114,"Commercial Load",F110:F114),3)&amp;"(0.7)"</f>
        <v>293.25(0.7)</v>
      </c>
      <c r="M110" s="2" t="s">
        <v>74</v>
      </c>
      <c r="N110" s="13" t="str">
        <f>TRUNC(SUMIF(A110:A114,"Industrial Load",F110:F114),3)&amp;"(0.65)"</f>
        <v>0(0.65)</v>
      </c>
      <c r="O110" s="2" t="str">
        <f>"="</f>
        <v>=</v>
      </c>
      <c r="P110" s="20">
        <f>((SUMIF(A110:A114,"Residential Load",F110:F114)*MID(J110,LEN(J110)-3,3))/J111)+((SUMIF(A110:A114,"Commercial Load",F110:F114)*MID(L110,LEN(L110)-3,3))/L111)+((SUMIF(A110:A114,"Industrial Load",F110:F114)*MID(N110,LEN(N110)-3,3))/N111)</f>
        <v>285.49931506849316</v>
      </c>
      <c r="Q110" s="22" t="s">
        <v>75</v>
      </c>
      <c r="R110" s="2">
        <v>0.9</v>
      </c>
      <c r="S110" s="21">
        <f>P110/R110</f>
        <v>317.22146118721463</v>
      </c>
      <c r="U110" s="12" t="s">
        <v>89</v>
      </c>
      <c r="Y110">
        <f>MID(U110,9,SEARCH("T",U110,1)-14)*1</f>
        <v>450</v>
      </c>
    </row>
    <row r="111" spans="1:25" x14ac:dyDescent="0.3">
      <c r="A111" s="4" t="s">
        <v>7</v>
      </c>
      <c r="B111" s="2">
        <v>70</v>
      </c>
      <c r="C111" s="2">
        <v>30</v>
      </c>
      <c r="D111" s="2">
        <v>1</v>
      </c>
      <c r="E111" s="2">
        <v>230</v>
      </c>
      <c r="F111" s="14">
        <f>Table151735123[[#This Row],[NO. OF ESTABLISHMENTS]]*Table151735123[[#This Row],[ESTIMATED AVERAGE AMPACITY]]*Table151735123[[#This Row],[VOLTAGE]]/1000</f>
        <v>483</v>
      </c>
      <c r="J111" s="2">
        <v>2</v>
      </c>
      <c r="L111" s="2">
        <v>1.46</v>
      </c>
      <c r="N111" s="2">
        <v>0.86</v>
      </c>
    </row>
    <row r="112" spans="1:25" x14ac:dyDescent="0.3">
      <c r="A112" s="4" t="s">
        <v>8</v>
      </c>
      <c r="B112" s="2">
        <v>15</v>
      </c>
      <c r="C112" s="2">
        <v>85</v>
      </c>
      <c r="D112" s="2">
        <v>1</v>
      </c>
      <c r="E112" s="2">
        <v>230</v>
      </c>
      <c r="F112" s="14">
        <f>Table151735123[[#This Row],[NO. OF ESTABLISHMENTS]]*Table151735123[[#This Row],[ESTIMATED AVERAGE AMPACITY]]*Table151735123[[#This Row],[VOLTAGE]]/1000</f>
        <v>293.25</v>
      </c>
    </row>
    <row r="113" spans="1:49" x14ac:dyDescent="0.3">
      <c r="A113" s="4" t="s">
        <v>9</v>
      </c>
      <c r="B113" s="2">
        <v>0</v>
      </c>
      <c r="C113" s="2">
        <v>0</v>
      </c>
      <c r="D113" s="2">
        <v>0</v>
      </c>
      <c r="E113" s="2">
        <v>0</v>
      </c>
      <c r="F113" s="14">
        <v>0</v>
      </c>
      <c r="H113" t="s">
        <v>79</v>
      </c>
      <c r="I113" s="2" t="str">
        <f>"="</f>
        <v>=</v>
      </c>
      <c r="J113" s="2" t="str">
        <f>IF((COUNTIF(A110:A114,"Commercial Load (Bulk)")&gt;0),TRUNC(LOOKUP("Commercial Load (Bulk)",A110:A114,F110:F114))&amp;"(0.7)",IF(COUNTIF(A110:A114,"Industrial Load (Bulk)")&gt;0,TRUNC(LOOKUP("Industrial Load (Bulk)",A110:A114,F110:F114))&amp;"(0.7)",""))</f>
        <v/>
      </c>
      <c r="P113" s="24" t="str">
        <f>IF((COUNTIF(A110:A114,"Commercial Load (Bulk)")&gt;0),(LOOKUP("Commercial Load (Bulk)",A110:A114,F110:F114)*MID(J113,LEN(J113)-3,3))/J114,IF(COUNTIF(A110:A114,"Industrial Load (Bulk)")&gt;0,(LOOKUP("Industrial Load (Bulk)",A110:A114,F110:F114)*MID(J113,LEN(J113)-3,3))/J114,""))</f>
        <v/>
      </c>
      <c r="R113" s="2"/>
      <c r="S113" s="21" t="str">
        <f>IF(ISBLANK(R113),"",P113/R113)</f>
        <v/>
      </c>
    </row>
    <row r="114" spans="1:49" x14ac:dyDescent="0.3">
      <c r="A114" s="4"/>
      <c r="B114" s="2"/>
      <c r="C114" s="2"/>
      <c r="D114" s="2"/>
      <c r="E114" s="2"/>
      <c r="F114" s="14"/>
      <c r="J114" s="23" t="str">
        <f>IF((COUNTIF(A110:A114,"Commercial Load (Bulk)")&gt;0),"0.9",IF(COUNTIF(A110:A114,"Industrial Load (Bulk)")&gt;0,"0.9",""))</f>
        <v/>
      </c>
      <c r="R114" s="2"/>
      <c r="S114" s="21"/>
      <c r="AD114"/>
      <c r="AE114"/>
      <c r="AF114"/>
      <c r="AG114"/>
      <c r="AH114"/>
      <c r="AI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</row>
    <row r="115" spans="1:49" x14ac:dyDescent="0.3">
      <c r="A115" s="4"/>
      <c r="B115" s="2"/>
      <c r="C115" s="2"/>
      <c r="D115" s="2"/>
      <c r="E115" s="2"/>
      <c r="F115" s="14"/>
      <c r="AD115"/>
      <c r="AE115"/>
      <c r="AF115"/>
      <c r="AG115"/>
      <c r="AH115"/>
      <c r="AI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</row>
    <row r="116" spans="1:49" x14ac:dyDescent="0.3">
      <c r="A116" s="3" t="s">
        <v>56</v>
      </c>
      <c r="B116" s="2"/>
      <c r="C116" s="2"/>
      <c r="D116" s="2"/>
      <c r="E116" s="2"/>
      <c r="F116" s="14"/>
      <c r="AD116"/>
      <c r="AE116"/>
      <c r="AF116"/>
      <c r="AG116"/>
      <c r="AH116"/>
      <c r="AI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</row>
    <row r="117" spans="1:49" ht="15" thickBot="1" x14ac:dyDescent="0.35">
      <c r="A117" s="4"/>
      <c r="B117" s="2"/>
      <c r="C117" s="2"/>
      <c r="D117" s="2"/>
      <c r="E117" s="2"/>
      <c r="F117" s="14"/>
      <c r="R117" s="2" t="s">
        <v>76</v>
      </c>
      <c r="S117" s="25" t="s">
        <v>77</v>
      </c>
      <c r="AD117"/>
      <c r="AE117"/>
      <c r="AF117"/>
      <c r="AG117"/>
      <c r="AH117"/>
      <c r="AI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</row>
    <row r="118" spans="1:49" ht="15" thickBot="1" x14ac:dyDescent="0.35">
      <c r="A118" s="5" t="s">
        <v>1</v>
      </c>
      <c r="B118" s="1" t="s">
        <v>2</v>
      </c>
      <c r="C118" s="1" t="s">
        <v>3</v>
      </c>
      <c r="D118" s="1" t="s">
        <v>4</v>
      </c>
      <c r="E118" s="1" t="s">
        <v>5</v>
      </c>
      <c r="F118" s="15" t="s">
        <v>6</v>
      </c>
      <c r="H118" t="s">
        <v>72</v>
      </c>
      <c r="I118" s="2" t="s">
        <v>73</v>
      </c>
      <c r="J118" s="13" t="str">
        <f>TRUNC(SUMIF(A118:A122,"Residential Load",F118:F122),3)&amp;"(0.6)"</f>
        <v>563.5(0.6)</v>
      </c>
      <c r="K118" s="2" t="s">
        <v>74</v>
      </c>
      <c r="L118" s="13" t="str">
        <f>TRUNC(SUMIF(A118:A122,"Commercial Load",F118:F122),3)&amp;"(0.7)"</f>
        <v>391(0.7)</v>
      </c>
      <c r="M118" s="2" t="s">
        <v>74</v>
      </c>
      <c r="N118" s="13" t="str">
        <f>TRUNC(SUMIF(A118:A122,"Industrial Load",F118:F122),3)&amp;"(0.65)"</f>
        <v>0(0.65)</v>
      </c>
      <c r="O118" s="2" t="str">
        <f>"="</f>
        <v>=</v>
      </c>
      <c r="P118" s="20">
        <f>((SUMIF(A118:A122,"Residential Load",F118:F122)*MID(J118,LEN(J118)-3,3))/J119)+((SUMIF(A118:A122,"Commercial Load",F118:F122)*MID(L118,LEN(L118)-3,3))/L119)+((SUMIF(A118:A122,"Industrial Load",F118:F122)*MID(N118,LEN(N118)-3,3))/N119)</f>
        <v>356.51575342465753</v>
      </c>
      <c r="Q118" s="22" t="s">
        <v>75</v>
      </c>
      <c r="R118" s="2">
        <v>0.9</v>
      </c>
      <c r="S118" s="21">
        <f>P118/R118</f>
        <v>396.12861491628615</v>
      </c>
      <c r="U118" s="12" t="s">
        <v>89</v>
      </c>
      <c r="Y118">
        <f>MID(U118,9,SEARCH("T",U118,1)-14)*1</f>
        <v>450</v>
      </c>
      <c r="AD118"/>
      <c r="AE118"/>
      <c r="AF118"/>
      <c r="AG118"/>
      <c r="AH118"/>
      <c r="AI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</row>
    <row r="119" spans="1:49" x14ac:dyDescent="0.3">
      <c r="A119" s="4" t="s">
        <v>7</v>
      </c>
      <c r="B119" s="2">
        <v>70</v>
      </c>
      <c r="C119" s="2">
        <v>35</v>
      </c>
      <c r="D119" s="2">
        <v>1</v>
      </c>
      <c r="E119" s="2">
        <v>230</v>
      </c>
      <c r="F119" s="14">
        <f>Table161836124[[#This Row],[NO. OF ESTABLISHMENTS]]*Table161836124[[#This Row],[ESTIMATED AVERAGE AMPACITY]]*Table161836124[[#This Row],[VOLTAGE]]/1000</f>
        <v>563.5</v>
      </c>
      <c r="J119" s="2">
        <v>2</v>
      </c>
      <c r="L119" s="2">
        <v>1.46</v>
      </c>
      <c r="N119" s="2">
        <v>0.86</v>
      </c>
      <c r="AD119"/>
      <c r="AE119"/>
      <c r="AF119"/>
      <c r="AG119"/>
      <c r="AH119"/>
      <c r="AI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</row>
    <row r="120" spans="1:49" x14ac:dyDescent="0.3">
      <c r="A120" s="4" t="s">
        <v>8</v>
      </c>
      <c r="B120" s="2">
        <v>20</v>
      </c>
      <c r="C120" s="2">
        <v>85</v>
      </c>
      <c r="D120" s="2">
        <v>1</v>
      </c>
      <c r="E120" s="2">
        <v>230</v>
      </c>
      <c r="F120" s="14">
        <f>Table161836124[[#This Row],[NO. OF ESTABLISHMENTS]]*Table161836124[[#This Row],[ESTIMATED AVERAGE AMPACITY]]*Table161836124[[#This Row],[VOLTAGE]]/1000</f>
        <v>391</v>
      </c>
      <c r="AD120"/>
      <c r="AE120"/>
      <c r="AF120"/>
      <c r="AG120"/>
      <c r="AH120"/>
      <c r="AI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</row>
    <row r="121" spans="1:49" x14ac:dyDescent="0.3">
      <c r="A121" s="4" t="s">
        <v>9</v>
      </c>
      <c r="B121" s="2">
        <v>0</v>
      </c>
      <c r="C121" s="2">
        <v>0</v>
      </c>
      <c r="D121" s="2">
        <v>0</v>
      </c>
      <c r="E121" s="2">
        <v>0</v>
      </c>
      <c r="F121" s="14">
        <v>0</v>
      </c>
      <c r="H121" t="s">
        <v>79</v>
      </c>
      <c r="I121" s="2" t="str">
        <f>"="</f>
        <v>=</v>
      </c>
      <c r="J121" s="2" t="str">
        <f>IF((COUNTIF(A118:A122,"Commercial Load (Bulk)")&gt;0),TRUNC(LOOKUP("Commercial Load (Bulk)",A118:A122,F118:F122))&amp;"(0.7)",IF(COUNTIF(A118:A122,"Industrial Load (Bulk)")&gt;0,TRUNC(LOOKUP("Industrial Load (Bulk)",A118:A122,F118:F122))&amp;"(0.7)",""))</f>
        <v/>
      </c>
      <c r="P121" s="24" t="str">
        <f>IF((COUNTIF(A118:A122,"Commercial Load (Bulk)")&gt;0),(LOOKUP("Commercial Load (Bulk)",A118:A122,F118:F122)*MID(J121,LEN(J121)-3,3))/J122,IF(COUNTIF(A118:A122,"Industrial Load (Bulk)")&gt;0,(LOOKUP("Industrial Load (Bulk)",A118:A122,F118:F122)*MID(J121,LEN(J121)-3,3))/J122,""))</f>
        <v/>
      </c>
      <c r="R121" s="2"/>
      <c r="S121" s="21" t="str">
        <f>IF(ISBLANK(R121),"",P121/R121)</f>
        <v/>
      </c>
      <c r="AD121"/>
      <c r="AE121"/>
      <c r="AF121"/>
      <c r="AG121"/>
      <c r="AH121"/>
      <c r="AI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</row>
    <row r="122" spans="1:49" x14ac:dyDescent="0.3">
      <c r="A122" s="4"/>
      <c r="B122" s="2"/>
      <c r="C122" s="2"/>
      <c r="D122" s="2"/>
      <c r="E122" s="2"/>
      <c r="F122" s="14"/>
      <c r="J122" s="23" t="str">
        <f>IF((COUNTIF(A118:A122,"Commercial Load (Bulk)")&gt;0),"0.9",IF(COUNTIF(A118:A122,"Industrial Load (Bulk)")&gt;0,"0.9",""))</f>
        <v/>
      </c>
      <c r="R122" s="2"/>
      <c r="S122" s="21"/>
      <c r="AD122"/>
      <c r="AE122"/>
      <c r="AF122"/>
      <c r="AG122"/>
      <c r="AH122"/>
      <c r="AI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</row>
    <row r="123" spans="1:49" x14ac:dyDescent="0.3">
      <c r="A123" s="4"/>
      <c r="B123" s="2"/>
      <c r="C123" s="2"/>
      <c r="D123" s="2"/>
      <c r="E123" s="2"/>
      <c r="F123" s="14"/>
      <c r="AD123"/>
      <c r="AE123"/>
      <c r="AF123"/>
      <c r="AG123"/>
      <c r="AH123"/>
      <c r="AI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</row>
    <row r="124" spans="1:49" x14ac:dyDescent="0.3">
      <c r="A124" s="3"/>
      <c r="B124" s="2"/>
      <c r="C124" s="2"/>
      <c r="D124" s="2"/>
      <c r="E124" s="2"/>
      <c r="F124" s="14"/>
      <c r="AD124"/>
      <c r="AE124"/>
      <c r="AF124"/>
      <c r="AG124"/>
      <c r="AH124"/>
      <c r="AI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</row>
    <row r="125" spans="1:49" x14ac:dyDescent="0.3">
      <c r="A125" s="4"/>
      <c r="B125" s="2"/>
      <c r="C125" s="2"/>
      <c r="D125" s="2"/>
      <c r="E125" s="2"/>
      <c r="F125"/>
      <c r="AD125"/>
      <c r="AE125"/>
      <c r="AF125"/>
      <c r="AG125"/>
      <c r="AH125"/>
      <c r="AI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</row>
    <row r="126" spans="1:49" x14ac:dyDescent="0.3">
      <c r="A126" s="5"/>
      <c r="B126" s="1"/>
      <c r="C126" s="1"/>
      <c r="D126" s="1"/>
      <c r="E126" s="1"/>
      <c r="F126"/>
      <c r="AD126"/>
      <c r="AE126"/>
      <c r="AF126"/>
      <c r="AG126"/>
      <c r="AH126"/>
      <c r="AI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</row>
    <row r="127" spans="1:49" x14ac:dyDescent="0.3">
      <c r="A127" s="4"/>
      <c r="B127" s="2"/>
      <c r="C127" s="2"/>
      <c r="D127" s="2"/>
      <c r="E127" s="2"/>
      <c r="F127"/>
      <c r="AD127"/>
      <c r="AE127"/>
      <c r="AF127"/>
      <c r="AG127"/>
      <c r="AH127"/>
      <c r="AI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</row>
    <row r="128" spans="1:49" x14ac:dyDescent="0.3">
      <c r="A128" s="4"/>
      <c r="B128" s="2"/>
      <c r="C128" s="2"/>
      <c r="D128" s="2"/>
      <c r="E128" s="2"/>
      <c r="F128"/>
      <c r="AD128"/>
      <c r="AE128"/>
      <c r="AF128"/>
      <c r="AG128"/>
      <c r="AH128"/>
      <c r="AI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</row>
    <row r="129" spans="1:49" x14ac:dyDescent="0.3">
      <c r="A129" s="4"/>
      <c r="B129" s="2"/>
      <c r="C129" s="2"/>
      <c r="D129" s="2"/>
      <c r="E129" s="2"/>
      <c r="F129"/>
      <c r="AD129"/>
      <c r="AE129"/>
      <c r="AF129"/>
      <c r="AG129"/>
      <c r="AH129"/>
      <c r="AI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</row>
    <row r="130" spans="1:49" x14ac:dyDescent="0.3">
      <c r="A130" s="4"/>
      <c r="B130" s="2"/>
      <c r="C130" s="2"/>
      <c r="D130" s="2"/>
      <c r="E130" s="2"/>
      <c r="F130"/>
      <c r="AD130"/>
      <c r="AE130"/>
      <c r="AF130"/>
      <c r="AG130"/>
      <c r="AH130"/>
      <c r="AI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</row>
    <row r="131" spans="1:49" x14ac:dyDescent="0.3">
      <c r="A131" s="4"/>
      <c r="B131" s="2"/>
      <c r="C131" s="2"/>
      <c r="D131" s="2"/>
      <c r="E131" s="2"/>
      <c r="F131"/>
      <c r="AD131"/>
      <c r="AE131"/>
      <c r="AF131"/>
      <c r="AG131"/>
      <c r="AH131"/>
      <c r="AI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</row>
    <row r="132" spans="1:49" x14ac:dyDescent="0.3">
      <c r="A132" s="3"/>
      <c r="B132" s="2"/>
      <c r="C132" s="2"/>
      <c r="D132" s="2"/>
      <c r="E132" s="2"/>
      <c r="F132"/>
      <c r="AD132"/>
      <c r="AE132"/>
      <c r="AF132"/>
      <c r="AG132"/>
      <c r="AH132"/>
      <c r="AI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</row>
    <row r="133" spans="1:49" x14ac:dyDescent="0.3">
      <c r="A133" s="4"/>
      <c r="B133" s="2"/>
      <c r="C133" s="2"/>
      <c r="D133" s="2"/>
      <c r="E133" s="2"/>
      <c r="F133"/>
      <c r="AD133"/>
      <c r="AE133"/>
      <c r="AF133"/>
      <c r="AG133"/>
      <c r="AH133"/>
      <c r="AI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</row>
    <row r="134" spans="1:49" x14ac:dyDescent="0.3">
      <c r="A134" s="5"/>
      <c r="B134" s="1"/>
      <c r="C134" s="1"/>
      <c r="D134" s="1"/>
      <c r="E134" s="1"/>
      <c r="F134"/>
      <c r="AD134"/>
      <c r="AE134"/>
      <c r="AF134"/>
      <c r="AG134"/>
      <c r="AH134"/>
      <c r="AI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</row>
    <row r="135" spans="1:49" x14ac:dyDescent="0.3">
      <c r="A135" s="4"/>
      <c r="B135" s="2"/>
      <c r="C135" s="2"/>
      <c r="D135" s="2"/>
      <c r="E135" s="2"/>
      <c r="F135"/>
      <c r="AD135"/>
      <c r="AE135"/>
      <c r="AF135"/>
      <c r="AG135"/>
      <c r="AH135"/>
      <c r="AI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</row>
    <row r="136" spans="1:49" x14ac:dyDescent="0.3">
      <c r="A136" s="4"/>
      <c r="B136" s="2"/>
      <c r="C136" s="2"/>
      <c r="D136" s="2"/>
      <c r="E136" s="2"/>
      <c r="F136"/>
      <c r="AD136"/>
      <c r="AE136"/>
      <c r="AF136"/>
      <c r="AG136"/>
      <c r="AH136"/>
      <c r="AI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</row>
    <row r="137" spans="1:49" x14ac:dyDescent="0.3">
      <c r="A137" s="4"/>
      <c r="B137" s="2"/>
      <c r="C137" s="2"/>
      <c r="D137" s="2"/>
      <c r="E137" s="2"/>
      <c r="F137"/>
      <c r="AD137"/>
      <c r="AE137"/>
      <c r="AF137"/>
      <c r="AG137"/>
      <c r="AH137"/>
      <c r="AI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</row>
    <row r="138" spans="1:49" x14ac:dyDescent="0.3">
      <c r="A138" s="4"/>
      <c r="B138" s="2"/>
      <c r="C138" s="2"/>
      <c r="D138" s="2"/>
      <c r="E138" s="2"/>
      <c r="F138"/>
      <c r="AD138"/>
      <c r="AE138"/>
      <c r="AF138"/>
      <c r="AG138"/>
      <c r="AH138"/>
      <c r="AI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</row>
    <row r="139" spans="1:49" x14ac:dyDescent="0.3">
      <c r="A139" s="4"/>
      <c r="B139" s="2"/>
      <c r="C139" s="2"/>
      <c r="D139" s="2"/>
      <c r="E139" s="2"/>
      <c r="F139"/>
      <c r="AD139"/>
      <c r="AE139"/>
      <c r="AF139"/>
      <c r="AG139"/>
      <c r="AH139"/>
      <c r="AI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</row>
    <row r="140" spans="1:49" x14ac:dyDescent="0.3">
      <c r="A140" s="3"/>
      <c r="B140" s="2"/>
      <c r="C140" s="2"/>
      <c r="D140" s="2"/>
      <c r="E140" s="2"/>
      <c r="F140"/>
      <c r="AD140"/>
      <c r="AE140"/>
      <c r="AF140"/>
      <c r="AG140"/>
      <c r="AH140"/>
      <c r="AI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</row>
    <row r="141" spans="1:49" x14ac:dyDescent="0.3">
      <c r="A141" s="4"/>
      <c r="B141" s="2"/>
      <c r="C141" s="2"/>
      <c r="D141" s="2"/>
      <c r="E141" s="2"/>
      <c r="F141"/>
      <c r="AD141"/>
      <c r="AE141"/>
      <c r="AF141"/>
      <c r="AG141"/>
      <c r="AH141"/>
      <c r="AI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</row>
    <row r="142" spans="1:49" x14ac:dyDescent="0.3">
      <c r="A142" s="5"/>
      <c r="B142" s="1"/>
      <c r="C142" s="1"/>
      <c r="D142" s="1"/>
      <c r="E142" s="1"/>
      <c r="F142"/>
      <c r="AD142"/>
      <c r="AE142"/>
      <c r="AF142"/>
      <c r="AG142"/>
      <c r="AH142"/>
      <c r="AI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</row>
    <row r="143" spans="1:49" x14ac:dyDescent="0.3">
      <c r="A143" s="4"/>
      <c r="B143" s="2"/>
      <c r="C143" s="2"/>
      <c r="D143" s="2"/>
      <c r="E143" s="2"/>
      <c r="F143"/>
      <c r="AD143"/>
      <c r="AE143"/>
      <c r="AF143"/>
      <c r="AG143"/>
      <c r="AH143"/>
      <c r="AI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</row>
    <row r="144" spans="1:49" x14ac:dyDescent="0.3">
      <c r="A144" s="4"/>
      <c r="B144" s="2"/>
      <c r="C144" s="2"/>
      <c r="D144" s="2"/>
      <c r="E144" s="2"/>
      <c r="F144"/>
      <c r="AD144"/>
      <c r="AE144"/>
      <c r="AF144"/>
      <c r="AG144"/>
      <c r="AH144"/>
      <c r="AI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</row>
    <row r="145" spans="1:49" x14ac:dyDescent="0.3">
      <c r="A145" s="4"/>
      <c r="B145" s="2"/>
      <c r="C145" s="2"/>
      <c r="D145" s="2"/>
      <c r="E145" s="2"/>
      <c r="F145" s="14"/>
      <c r="AD145"/>
      <c r="AE145"/>
      <c r="AF145"/>
      <c r="AG145"/>
      <c r="AH145"/>
      <c r="AI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</row>
    <row r="146" spans="1:49" x14ac:dyDescent="0.3">
      <c r="AD146"/>
      <c r="AE146"/>
      <c r="AF146"/>
      <c r="AG146"/>
      <c r="AH146"/>
      <c r="AI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</row>
    <row r="147" spans="1:49" x14ac:dyDescent="0.3">
      <c r="AD147"/>
      <c r="AE147"/>
      <c r="AF147"/>
      <c r="AG147"/>
      <c r="AH147"/>
      <c r="AI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</row>
    <row r="148" spans="1:49" x14ac:dyDescent="0.3">
      <c r="AD148"/>
      <c r="AE148"/>
      <c r="AF148"/>
      <c r="AG148"/>
      <c r="AH148"/>
      <c r="AI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</row>
    <row r="149" spans="1:49" x14ac:dyDescent="0.3">
      <c r="AD149"/>
      <c r="AE149"/>
      <c r="AF149"/>
      <c r="AG149"/>
      <c r="AH149"/>
      <c r="AI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</row>
    <row r="150" spans="1:49" x14ac:dyDescent="0.3">
      <c r="AD150"/>
      <c r="AE150"/>
      <c r="AF150"/>
      <c r="AG150"/>
      <c r="AH150"/>
      <c r="AI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</row>
    <row r="151" spans="1:49" x14ac:dyDescent="0.3">
      <c r="AD151"/>
      <c r="AE151"/>
      <c r="AF151"/>
      <c r="AG151"/>
      <c r="AH151"/>
      <c r="AI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</row>
    <row r="152" spans="1:49" x14ac:dyDescent="0.3">
      <c r="AD152"/>
      <c r="AE152"/>
      <c r="AF152"/>
      <c r="AG152"/>
      <c r="AH152"/>
      <c r="AI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</row>
    <row r="153" spans="1:49" x14ac:dyDescent="0.3">
      <c r="AD153"/>
      <c r="AE153"/>
      <c r="AF153"/>
      <c r="AG153"/>
      <c r="AH153"/>
      <c r="AI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</row>
    <row r="154" spans="1:49" x14ac:dyDescent="0.3">
      <c r="AD154"/>
      <c r="AE154"/>
      <c r="AF154"/>
      <c r="AG154"/>
      <c r="AH154"/>
      <c r="AI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</row>
    <row r="155" spans="1:49" x14ac:dyDescent="0.3">
      <c r="AD155"/>
      <c r="AE155"/>
      <c r="AF155"/>
      <c r="AG155"/>
      <c r="AH155"/>
      <c r="AI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</row>
    <row r="156" spans="1:49" x14ac:dyDescent="0.3">
      <c r="AD156"/>
      <c r="AE156"/>
      <c r="AF156"/>
      <c r="AG156"/>
      <c r="AH156"/>
      <c r="AI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1:49" x14ac:dyDescent="0.3">
      <c r="AD157"/>
      <c r="AE157"/>
      <c r="AF157"/>
      <c r="AG157"/>
      <c r="AH157"/>
      <c r="AI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x14ac:dyDescent="0.3">
      <c r="AD158"/>
      <c r="AE158"/>
      <c r="AF158"/>
      <c r="AG158"/>
      <c r="AH158"/>
      <c r="AI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x14ac:dyDescent="0.3">
      <c r="AD159"/>
      <c r="AE159"/>
      <c r="AF159"/>
      <c r="AG159"/>
      <c r="AH159"/>
      <c r="AI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  <row r="160" spans="1:49" x14ac:dyDescent="0.3">
      <c r="AD160"/>
      <c r="AE160"/>
      <c r="AF160"/>
      <c r="AG160"/>
      <c r="AH160"/>
      <c r="AI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</row>
    <row r="161" spans="30:49" x14ac:dyDescent="0.3">
      <c r="AD161"/>
      <c r="AE161"/>
      <c r="AF161"/>
      <c r="AG161"/>
      <c r="AH161"/>
      <c r="AI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</row>
    <row r="162" spans="30:49" x14ac:dyDescent="0.3">
      <c r="AD162"/>
      <c r="AE162"/>
      <c r="AF162"/>
      <c r="AG162"/>
      <c r="AH162"/>
      <c r="AI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</row>
    <row r="163" spans="30:49" x14ac:dyDescent="0.3">
      <c r="AD163"/>
      <c r="AE163"/>
      <c r="AF163"/>
      <c r="AG163"/>
      <c r="AH163"/>
      <c r="AI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</row>
    <row r="164" spans="30:49" x14ac:dyDescent="0.3">
      <c r="AD164"/>
      <c r="AE164"/>
      <c r="AF164"/>
      <c r="AG164"/>
      <c r="AH164"/>
      <c r="AI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</row>
    <row r="165" spans="30:49" x14ac:dyDescent="0.3">
      <c r="AD165"/>
      <c r="AE165"/>
      <c r="AF165"/>
      <c r="AG165"/>
      <c r="AH165"/>
      <c r="AI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</row>
    <row r="166" spans="30:49" x14ac:dyDescent="0.3">
      <c r="AD166"/>
      <c r="AE166"/>
      <c r="AF166"/>
      <c r="AG166"/>
      <c r="AH166"/>
      <c r="AI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</row>
    <row r="167" spans="30:49" x14ac:dyDescent="0.3">
      <c r="AD167"/>
      <c r="AE167"/>
      <c r="AF167"/>
      <c r="AG167"/>
      <c r="AH167"/>
      <c r="AI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</row>
    <row r="168" spans="30:49" x14ac:dyDescent="0.3">
      <c r="AD168"/>
      <c r="AE168"/>
      <c r="AF168"/>
      <c r="AG168"/>
      <c r="AH168"/>
      <c r="AI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</row>
    <row r="169" spans="30:49" x14ac:dyDescent="0.3">
      <c r="AD169"/>
      <c r="AE169"/>
      <c r="AF169"/>
      <c r="AG169"/>
      <c r="AH169"/>
      <c r="AI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</row>
    <row r="170" spans="30:49" x14ac:dyDescent="0.3">
      <c r="AD170"/>
      <c r="AE170"/>
      <c r="AF170"/>
      <c r="AG170"/>
      <c r="AH170"/>
      <c r="AI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</row>
    <row r="171" spans="30:49" x14ac:dyDescent="0.3">
      <c r="AD171"/>
      <c r="AE171"/>
      <c r="AF171"/>
      <c r="AG171"/>
      <c r="AH171"/>
      <c r="AI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</row>
    <row r="172" spans="30:49" x14ac:dyDescent="0.3">
      <c r="AD172"/>
      <c r="AE172"/>
      <c r="AF172"/>
      <c r="AG172"/>
      <c r="AH172"/>
      <c r="AI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</row>
    <row r="173" spans="30:49" x14ac:dyDescent="0.3">
      <c r="AD173"/>
      <c r="AE173"/>
      <c r="AF173"/>
      <c r="AG173"/>
      <c r="AH173"/>
      <c r="AI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</row>
    <row r="174" spans="30:49" x14ac:dyDescent="0.3">
      <c r="AD174"/>
      <c r="AE174"/>
      <c r="AF174"/>
      <c r="AG174"/>
      <c r="AH174"/>
      <c r="AI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</row>
    <row r="175" spans="30:49" x14ac:dyDescent="0.3">
      <c r="AD175"/>
      <c r="AE175"/>
      <c r="AF175"/>
      <c r="AG175"/>
      <c r="AH175"/>
      <c r="AI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</row>
    <row r="176" spans="30:49" x14ac:dyDescent="0.3">
      <c r="AD176"/>
      <c r="AE176"/>
      <c r="AF176"/>
      <c r="AG176"/>
      <c r="AH176"/>
      <c r="AI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</row>
    <row r="177" spans="30:49" x14ac:dyDescent="0.3">
      <c r="AD177"/>
      <c r="AE177"/>
      <c r="AF177"/>
      <c r="AG177"/>
      <c r="AH177"/>
      <c r="AI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</row>
    <row r="178" spans="30:49" x14ac:dyDescent="0.3">
      <c r="AD178"/>
      <c r="AE178"/>
      <c r="AF178"/>
      <c r="AG178"/>
      <c r="AH178"/>
      <c r="AI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</row>
    <row r="179" spans="30:49" x14ac:dyDescent="0.3">
      <c r="AD179"/>
      <c r="AE179"/>
      <c r="AF179"/>
      <c r="AG179"/>
      <c r="AH179"/>
      <c r="AI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</row>
    <row r="180" spans="30:49" x14ac:dyDescent="0.3">
      <c r="AD180"/>
      <c r="AE180"/>
      <c r="AF180"/>
      <c r="AG180"/>
      <c r="AH180"/>
      <c r="AI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</row>
    <row r="181" spans="30:49" x14ac:dyDescent="0.3">
      <c r="AD181"/>
      <c r="AE181"/>
      <c r="AF181"/>
      <c r="AG181"/>
      <c r="AH181"/>
      <c r="AI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</row>
    <row r="182" spans="30:49" x14ac:dyDescent="0.3">
      <c r="AD182"/>
      <c r="AE182"/>
      <c r="AF182"/>
      <c r="AG182"/>
      <c r="AH182"/>
      <c r="AI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</row>
    <row r="183" spans="30:49" x14ac:dyDescent="0.3">
      <c r="AD183"/>
      <c r="AE183"/>
      <c r="AF183"/>
      <c r="AG183"/>
      <c r="AH183"/>
      <c r="AI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</row>
    <row r="184" spans="30:49" x14ac:dyDescent="0.3">
      <c r="AD184"/>
      <c r="AE184"/>
      <c r="AF184"/>
      <c r="AG184"/>
      <c r="AH184"/>
      <c r="AI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</row>
    <row r="185" spans="30:49" x14ac:dyDescent="0.3">
      <c r="AD185"/>
      <c r="AE185"/>
      <c r="AF185"/>
      <c r="AG185"/>
      <c r="AH185"/>
      <c r="AI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</row>
    <row r="186" spans="30:49" x14ac:dyDescent="0.3">
      <c r="AD186"/>
      <c r="AE186"/>
      <c r="AF186"/>
      <c r="AG186"/>
      <c r="AH186"/>
      <c r="AI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</row>
    <row r="187" spans="30:49" x14ac:dyDescent="0.3">
      <c r="AD187"/>
      <c r="AE187"/>
      <c r="AF187"/>
      <c r="AG187"/>
      <c r="AH187"/>
      <c r="AI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</row>
    <row r="188" spans="30:49" x14ac:dyDescent="0.3">
      <c r="AD188"/>
      <c r="AE188"/>
      <c r="AF188"/>
      <c r="AG188"/>
      <c r="AH188"/>
      <c r="AI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</row>
    <row r="189" spans="30:49" x14ac:dyDescent="0.3">
      <c r="AD189"/>
      <c r="AE189"/>
      <c r="AF189"/>
      <c r="AG189"/>
      <c r="AH189"/>
      <c r="AI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</row>
    <row r="190" spans="30:49" x14ac:dyDescent="0.3">
      <c r="AD190"/>
      <c r="AE190"/>
      <c r="AF190"/>
      <c r="AG190"/>
      <c r="AH190"/>
      <c r="AI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</row>
    <row r="191" spans="30:49" x14ac:dyDescent="0.3">
      <c r="AD191"/>
      <c r="AE191"/>
      <c r="AF191"/>
      <c r="AG191"/>
      <c r="AH191"/>
      <c r="AI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</row>
    <row r="192" spans="30:49" x14ac:dyDescent="0.3">
      <c r="AD192"/>
      <c r="AE192"/>
      <c r="AF192"/>
      <c r="AG192"/>
      <c r="AH192"/>
      <c r="AI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</row>
    <row r="193" spans="30:49" x14ac:dyDescent="0.3">
      <c r="AD193"/>
      <c r="AE193"/>
      <c r="AF193"/>
      <c r="AG193"/>
      <c r="AH193"/>
      <c r="AI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</row>
    <row r="194" spans="30:49" x14ac:dyDescent="0.3">
      <c r="AD194"/>
      <c r="AE194"/>
      <c r="AF194"/>
      <c r="AG194"/>
      <c r="AH194"/>
      <c r="AI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</row>
    <row r="195" spans="30:49" x14ac:dyDescent="0.3">
      <c r="AD195"/>
      <c r="AE195"/>
      <c r="AF195"/>
      <c r="AG195"/>
      <c r="AH195"/>
      <c r="AI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</row>
    <row r="196" spans="30:49" x14ac:dyDescent="0.3">
      <c r="AD196"/>
      <c r="AE196"/>
      <c r="AF196"/>
      <c r="AG196"/>
      <c r="AH196"/>
      <c r="AI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</row>
    <row r="197" spans="30:49" x14ac:dyDescent="0.3">
      <c r="AD197"/>
      <c r="AE197"/>
      <c r="AF197"/>
      <c r="AG197"/>
      <c r="AH197"/>
      <c r="AI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</row>
    <row r="198" spans="30:49" x14ac:dyDescent="0.3">
      <c r="AD198"/>
      <c r="AE198"/>
      <c r="AF198"/>
      <c r="AG198"/>
      <c r="AH198"/>
      <c r="AI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</row>
    <row r="199" spans="30:49" x14ac:dyDescent="0.3">
      <c r="AD199"/>
      <c r="AE199"/>
      <c r="AF199"/>
      <c r="AG199"/>
      <c r="AH199"/>
      <c r="AI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</row>
    <row r="200" spans="30:49" x14ac:dyDescent="0.3">
      <c r="AD200"/>
      <c r="AE200"/>
      <c r="AF200"/>
      <c r="AG200"/>
      <c r="AH200"/>
      <c r="AI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</row>
    <row r="201" spans="30:49" x14ac:dyDescent="0.3">
      <c r="AD201"/>
      <c r="AE201"/>
      <c r="AF201"/>
      <c r="AG201"/>
      <c r="AH201"/>
      <c r="AI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</row>
    <row r="202" spans="30:49" x14ac:dyDescent="0.3">
      <c r="AD202"/>
      <c r="AE202"/>
      <c r="AF202"/>
      <c r="AG202"/>
      <c r="AH202"/>
      <c r="AI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</row>
    <row r="203" spans="30:49" x14ac:dyDescent="0.3">
      <c r="AD203"/>
      <c r="AE203"/>
      <c r="AF203"/>
      <c r="AG203"/>
      <c r="AH203"/>
      <c r="AI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</row>
    <row r="204" spans="30:49" x14ac:dyDescent="0.3">
      <c r="AD204"/>
      <c r="AE204"/>
      <c r="AF204"/>
      <c r="AG204"/>
      <c r="AH204"/>
      <c r="AI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</row>
    <row r="205" spans="30:49" x14ac:dyDescent="0.3">
      <c r="AD205"/>
      <c r="AE205"/>
      <c r="AF205"/>
      <c r="AG205"/>
      <c r="AH205"/>
      <c r="AI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</row>
    <row r="206" spans="30:49" x14ac:dyDescent="0.3">
      <c r="AD206"/>
      <c r="AE206"/>
      <c r="AF206"/>
      <c r="AG206"/>
      <c r="AH206"/>
      <c r="AI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</row>
    <row r="207" spans="30:49" x14ac:dyDescent="0.3">
      <c r="AD207"/>
      <c r="AE207"/>
      <c r="AF207"/>
      <c r="AG207"/>
      <c r="AH207"/>
      <c r="AI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</row>
    <row r="208" spans="30:49" x14ac:dyDescent="0.3">
      <c r="AD208"/>
      <c r="AE208"/>
      <c r="AF208"/>
      <c r="AG208"/>
      <c r="AH208"/>
      <c r="AI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</row>
    <row r="209" spans="30:49" x14ac:dyDescent="0.3">
      <c r="AD209"/>
      <c r="AE209"/>
      <c r="AF209"/>
      <c r="AG209"/>
      <c r="AH209"/>
      <c r="AI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</row>
    <row r="210" spans="30:49" x14ac:dyDescent="0.3">
      <c r="AD210"/>
      <c r="AE210"/>
      <c r="AF210"/>
      <c r="AG210"/>
      <c r="AH210"/>
      <c r="AI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</row>
    <row r="211" spans="30:49" x14ac:dyDescent="0.3">
      <c r="AD211"/>
      <c r="AE211"/>
      <c r="AF211"/>
      <c r="AG211"/>
      <c r="AH211"/>
      <c r="AI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</row>
    <row r="212" spans="30:49" x14ac:dyDescent="0.3">
      <c r="AD212"/>
      <c r="AE212"/>
      <c r="AF212"/>
      <c r="AG212"/>
      <c r="AH212"/>
      <c r="AI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</row>
    <row r="213" spans="30:49" x14ac:dyDescent="0.3">
      <c r="AD213"/>
      <c r="AE213"/>
      <c r="AF213"/>
      <c r="AG213"/>
      <c r="AH213"/>
      <c r="AI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</row>
    <row r="214" spans="30:49" x14ac:dyDescent="0.3">
      <c r="AD214"/>
      <c r="AE214"/>
      <c r="AF214"/>
      <c r="AG214"/>
      <c r="AH214"/>
      <c r="AI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</row>
    <row r="215" spans="30:49" x14ac:dyDescent="0.3">
      <c r="AD215"/>
      <c r="AE215"/>
      <c r="AF215"/>
      <c r="AG215"/>
      <c r="AH215"/>
      <c r="AI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</row>
    <row r="216" spans="30:49" x14ac:dyDescent="0.3">
      <c r="AD216"/>
      <c r="AE216"/>
      <c r="AF216"/>
      <c r="AG216"/>
      <c r="AH216"/>
      <c r="AI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</row>
    <row r="217" spans="30:49" x14ac:dyDescent="0.3">
      <c r="AD217"/>
      <c r="AE217"/>
      <c r="AF217"/>
      <c r="AG217"/>
      <c r="AH217"/>
      <c r="AI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</row>
    <row r="218" spans="30:49" x14ac:dyDescent="0.3">
      <c r="AD218"/>
      <c r="AE218"/>
      <c r="AF218"/>
      <c r="AG218"/>
      <c r="AH218"/>
      <c r="AI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</row>
    <row r="219" spans="30:49" x14ac:dyDescent="0.3">
      <c r="AD219"/>
      <c r="AE219"/>
      <c r="AF219"/>
      <c r="AG219"/>
      <c r="AH219"/>
      <c r="AI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</row>
    <row r="220" spans="30:49" x14ac:dyDescent="0.3">
      <c r="AD220"/>
      <c r="AE220"/>
      <c r="AF220"/>
      <c r="AG220"/>
      <c r="AH220"/>
      <c r="AI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</row>
    <row r="221" spans="30:49" x14ac:dyDescent="0.3">
      <c r="AD221"/>
      <c r="AE221"/>
      <c r="AF221"/>
      <c r="AG221"/>
      <c r="AH221"/>
      <c r="AI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</row>
    <row r="222" spans="30:49" x14ac:dyDescent="0.3">
      <c r="AD222"/>
      <c r="AE222"/>
      <c r="AF222"/>
      <c r="AG222"/>
      <c r="AH222"/>
      <c r="AI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</row>
    <row r="223" spans="30:49" x14ac:dyDescent="0.3">
      <c r="AD223"/>
      <c r="AE223"/>
      <c r="AF223"/>
      <c r="AG223"/>
      <c r="AH223"/>
      <c r="AI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</row>
    <row r="224" spans="30:49" x14ac:dyDescent="0.3">
      <c r="AD224"/>
      <c r="AE224"/>
      <c r="AF224"/>
      <c r="AG224"/>
      <c r="AH224"/>
      <c r="AI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</row>
    <row r="225" spans="30:49" x14ac:dyDescent="0.3">
      <c r="AD225"/>
      <c r="AE225"/>
      <c r="AF225"/>
      <c r="AG225"/>
      <c r="AH225"/>
      <c r="AI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</row>
    <row r="226" spans="30:49" x14ac:dyDescent="0.3">
      <c r="AD226"/>
      <c r="AE226"/>
      <c r="AF226"/>
      <c r="AG226"/>
      <c r="AH226"/>
      <c r="AI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</row>
    <row r="227" spans="30:49" x14ac:dyDescent="0.3">
      <c r="AD227"/>
      <c r="AE227"/>
      <c r="AF227"/>
      <c r="AG227"/>
      <c r="AH227"/>
      <c r="AI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</row>
    <row r="228" spans="30:49" x14ac:dyDescent="0.3">
      <c r="AD228"/>
      <c r="AE228"/>
      <c r="AF228"/>
      <c r="AG228"/>
      <c r="AH228"/>
      <c r="AI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</row>
    <row r="229" spans="30:49" x14ac:dyDescent="0.3">
      <c r="AD229"/>
      <c r="AE229"/>
      <c r="AF229"/>
      <c r="AG229"/>
      <c r="AH229"/>
      <c r="AI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</row>
    <row r="230" spans="30:49" x14ac:dyDescent="0.3">
      <c r="AD230"/>
      <c r="AE230"/>
      <c r="AF230"/>
      <c r="AG230"/>
      <c r="AH230"/>
      <c r="AI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</row>
    <row r="231" spans="30:49" x14ac:dyDescent="0.3">
      <c r="AD231"/>
      <c r="AE231"/>
      <c r="AF231"/>
      <c r="AG231"/>
      <c r="AH231"/>
      <c r="AI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</row>
    <row r="232" spans="30:49" x14ac:dyDescent="0.3">
      <c r="AD232"/>
      <c r="AE232"/>
      <c r="AF232"/>
      <c r="AG232"/>
      <c r="AH232"/>
      <c r="AI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</row>
    <row r="233" spans="30:49" x14ac:dyDescent="0.3">
      <c r="AD233"/>
      <c r="AE233"/>
      <c r="AF233"/>
      <c r="AG233"/>
      <c r="AH233"/>
      <c r="AI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</row>
    <row r="234" spans="30:49" x14ac:dyDescent="0.3">
      <c r="AD234"/>
      <c r="AE234"/>
      <c r="AF234"/>
      <c r="AG234"/>
      <c r="AH234"/>
      <c r="AI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</row>
    <row r="235" spans="30:49" x14ac:dyDescent="0.3">
      <c r="AD235"/>
      <c r="AE235"/>
      <c r="AF235"/>
      <c r="AG235"/>
      <c r="AH235"/>
      <c r="AI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</row>
    <row r="236" spans="30:49" x14ac:dyDescent="0.3">
      <c r="AD236"/>
      <c r="AE236"/>
      <c r="AF236"/>
      <c r="AG236"/>
      <c r="AH236"/>
      <c r="AI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</row>
    <row r="237" spans="30:49" x14ac:dyDescent="0.3">
      <c r="AD237"/>
      <c r="AE237"/>
      <c r="AF237"/>
      <c r="AG237"/>
      <c r="AH237"/>
      <c r="AI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</row>
    <row r="238" spans="30:49" x14ac:dyDescent="0.3">
      <c r="AD238"/>
      <c r="AE238"/>
      <c r="AF238"/>
      <c r="AG238"/>
      <c r="AH238"/>
      <c r="AI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</row>
    <row r="239" spans="30:49" x14ac:dyDescent="0.3">
      <c r="AD239"/>
      <c r="AE239"/>
      <c r="AF239"/>
      <c r="AG239"/>
      <c r="AH239"/>
      <c r="AI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</row>
    <row r="240" spans="30:49" x14ac:dyDescent="0.3">
      <c r="AD240"/>
      <c r="AE240"/>
      <c r="AF240"/>
      <c r="AG240"/>
      <c r="AH240"/>
      <c r="AI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</row>
    <row r="241" spans="30:49" x14ac:dyDescent="0.3">
      <c r="AD241"/>
      <c r="AE241"/>
      <c r="AF241"/>
      <c r="AG241"/>
      <c r="AH241"/>
      <c r="AI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</row>
    <row r="242" spans="30:49" x14ac:dyDescent="0.3">
      <c r="AD242"/>
      <c r="AE242"/>
      <c r="AF242"/>
      <c r="AG242"/>
      <c r="AH242"/>
      <c r="AI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</row>
    <row r="243" spans="30:49" x14ac:dyDescent="0.3">
      <c r="AD243"/>
      <c r="AE243"/>
      <c r="AF243"/>
      <c r="AG243"/>
      <c r="AH243"/>
      <c r="AI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</row>
    <row r="244" spans="30:49" x14ac:dyDescent="0.3">
      <c r="AD244"/>
      <c r="AE244"/>
      <c r="AF244"/>
      <c r="AG244"/>
      <c r="AH244"/>
      <c r="AI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</row>
    <row r="245" spans="30:49" x14ac:dyDescent="0.3">
      <c r="AD245"/>
      <c r="AE245"/>
      <c r="AF245"/>
      <c r="AG245"/>
      <c r="AH245"/>
      <c r="AI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</row>
    <row r="246" spans="30:49" x14ac:dyDescent="0.3">
      <c r="AD246"/>
      <c r="AE246"/>
      <c r="AF246"/>
      <c r="AG246"/>
      <c r="AH246"/>
      <c r="AI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</row>
    <row r="247" spans="30:49" x14ac:dyDescent="0.3">
      <c r="AD247"/>
      <c r="AE247"/>
      <c r="AF247"/>
      <c r="AG247"/>
      <c r="AH247"/>
      <c r="AI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</row>
    <row r="248" spans="30:49" x14ac:dyDescent="0.3">
      <c r="AD248"/>
      <c r="AE248"/>
      <c r="AF248"/>
      <c r="AG248"/>
      <c r="AH248"/>
      <c r="AI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</row>
    <row r="249" spans="30:49" x14ac:dyDescent="0.3">
      <c r="AD249"/>
      <c r="AE249"/>
      <c r="AF249"/>
      <c r="AG249"/>
      <c r="AH249"/>
      <c r="AI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</row>
    <row r="250" spans="30:49" x14ac:dyDescent="0.3">
      <c r="AD250"/>
      <c r="AE250"/>
      <c r="AF250"/>
      <c r="AG250"/>
      <c r="AH250"/>
      <c r="AI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</row>
    <row r="251" spans="30:49" x14ac:dyDescent="0.3">
      <c r="AD251"/>
      <c r="AE251"/>
      <c r="AF251"/>
      <c r="AG251"/>
      <c r="AH251"/>
      <c r="AI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</row>
    <row r="252" spans="30:49" x14ac:dyDescent="0.3">
      <c r="AD252"/>
      <c r="AE252"/>
      <c r="AF252"/>
      <c r="AG252"/>
      <c r="AH252"/>
      <c r="AI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</row>
    <row r="253" spans="30:49" x14ac:dyDescent="0.3">
      <c r="AD253"/>
      <c r="AE253"/>
      <c r="AF253"/>
      <c r="AG253"/>
      <c r="AH253"/>
      <c r="AI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</row>
    <row r="254" spans="30:49" x14ac:dyDescent="0.3">
      <c r="AD254"/>
      <c r="AE254"/>
      <c r="AF254"/>
      <c r="AG254"/>
      <c r="AH254"/>
      <c r="AI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</row>
    <row r="255" spans="30:49" x14ac:dyDescent="0.3">
      <c r="AD255"/>
      <c r="AE255"/>
      <c r="AF255"/>
      <c r="AG255"/>
      <c r="AH255"/>
      <c r="AI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</row>
    <row r="256" spans="30:49" x14ac:dyDescent="0.3">
      <c r="AD256"/>
      <c r="AE256"/>
      <c r="AF256"/>
      <c r="AG256"/>
      <c r="AH256"/>
      <c r="AI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</row>
    <row r="257" spans="30:49" x14ac:dyDescent="0.3">
      <c r="AD257"/>
      <c r="AE257"/>
      <c r="AF257"/>
      <c r="AG257"/>
      <c r="AH257"/>
      <c r="AI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</row>
    <row r="258" spans="30:49" x14ac:dyDescent="0.3">
      <c r="AD258"/>
      <c r="AE258"/>
      <c r="AF258"/>
      <c r="AG258"/>
      <c r="AH258"/>
      <c r="AI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</row>
    <row r="259" spans="30:49" x14ac:dyDescent="0.3">
      <c r="AD259"/>
      <c r="AE259"/>
      <c r="AF259"/>
      <c r="AG259"/>
      <c r="AH259"/>
      <c r="AI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</row>
    <row r="260" spans="30:49" x14ac:dyDescent="0.3">
      <c r="AD260"/>
      <c r="AE260"/>
      <c r="AF260"/>
      <c r="AG260"/>
      <c r="AH260"/>
      <c r="AI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</row>
    <row r="261" spans="30:49" x14ac:dyDescent="0.3">
      <c r="AD261"/>
      <c r="AE261"/>
      <c r="AF261"/>
      <c r="AG261"/>
      <c r="AH261"/>
      <c r="AI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</row>
    <row r="262" spans="30:49" x14ac:dyDescent="0.3">
      <c r="AD262"/>
      <c r="AE262"/>
      <c r="AF262"/>
      <c r="AG262"/>
      <c r="AH262"/>
      <c r="AI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</row>
    <row r="263" spans="30:49" x14ac:dyDescent="0.3">
      <c r="AD263"/>
      <c r="AE263"/>
      <c r="AF263"/>
      <c r="AG263"/>
      <c r="AH263"/>
      <c r="AI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</row>
    <row r="264" spans="30:49" x14ac:dyDescent="0.3">
      <c r="AD264"/>
      <c r="AE264"/>
      <c r="AF264"/>
      <c r="AG264"/>
      <c r="AH264"/>
      <c r="AI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</row>
    <row r="265" spans="30:49" x14ac:dyDescent="0.3">
      <c r="AD265"/>
      <c r="AE265"/>
      <c r="AF265"/>
      <c r="AG265"/>
      <c r="AH265"/>
      <c r="AI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</row>
    <row r="266" spans="30:49" x14ac:dyDescent="0.3">
      <c r="AD266"/>
      <c r="AE266"/>
      <c r="AF266"/>
      <c r="AG266"/>
      <c r="AH266"/>
      <c r="AI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</row>
    <row r="267" spans="30:49" x14ac:dyDescent="0.3">
      <c r="AD267"/>
      <c r="AE267"/>
      <c r="AF267"/>
      <c r="AG267"/>
      <c r="AH267"/>
      <c r="AI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</row>
    <row r="268" spans="30:49" x14ac:dyDescent="0.3">
      <c r="AD268"/>
      <c r="AE268"/>
      <c r="AF268"/>
      <c r="AG268"/>
      <c r="AH268"/>
      <c r="AI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</row>
    <row r="269" spans="30:49" x14ac:dyDescent="0.3">
      <c r="AD269"/>
      <c r="AE269"/>
      <c r="AF269"/>
      <c r="AG269"/>
      <c r="AH269"/>
      <c r="AI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</row>
    <row r="270" spans="30:49" x14ac:dyDescent="0.3">
      <c r="AD270"/>
      <c r="AE270"/>
      <c r="AF270"/>
      <c r="AG270"/>
      <c r="AH270"/>
      <c r="AI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</row>
    <row r="271" spans="30:49" x14ac:dyDescent="0.3">
      <c r="AD271"/>
      <c r="AE271"/>
      <c r="AF271"/>
      <c r="AG271"/>
      <c r="AH271"/>
      <c r="AI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</row>
    <row r="272" spans="30:49" x14ac:dyDescent="0.3">
      <c r="AD272"/>
      <c r="AE272"/>
      <c r="AF272"/>
      <c r="AG272"/>
      <c r="AH272"/>
      <c r="AI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</row>
    <row r="273" spans="30:49" x14ac:dyDescent="0.3">
      <c r="AD273"/>
      <c r="AE273"/>
      <c r="AF273"/>
      <c r="AG273"/>
      <c r="AH273"/>
      <c r="AI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</row>
    <row r="274" spans="30:49" x14ac:dyDescent="0.3">
      <c r="AD274"/>
      <c r="AE274"/>
      <c r="AF274"/>
      <c r="AG274"/>
      <c r="AH274"/>
      <c r="AI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</row>
    <row r="275" spans="30:49" x14ac:dyDescent="0.3">
      <c r="AD275"/>
      <c r="AE275"/>
      <c r="AF275"/>
      <c r="AG275"/>
      <c r="AH275"/>
      <c r="AI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</row>
    <row r="276" spans="30:49" x14ac:dyDescent="0.3">
      <c r="AD276"/>
      <c r="AE276"/>
      <c r="AF276"/>
      <c r="AG276"/>
      <c r="AH276"/>
      <c r="AI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</row>
    <row r="277" spans="30:49" x14ac:dyDescent="0.3">
      <c r="AD277"/>
      <c r="AE277"/>
      <c r="AF277"/>
      <c r="AG277"/>
      <c r="AH277"/>
      <c r="AI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</row>
    <row r="278" spans="30:49" x14ac:dyDescent="0.3">
      <c r="AD278"/>
      <c r="AE278"/>
      <c r="AF278"/>
      <c r="AG278"/>
      <c r="AH278"/>
      <c r="AI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</row>
    <row r="279" spans="30:49" x14ac:dyDescent="0.3">
      <c r="AD279"/>
      <c r="AE279"/>
      <c r="AF279"/>
      <c r="AG279"/>
      <c r="AH279"/>
      <c r="AI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</row>
    <row r="280" spans="30:49" x14ac:dyDescent="0.3">
      <c r="AD280"/>
      <c r="AE280"/>
      <c r="AF280"/>
      <c r="AG280"/>
      <c r="AH280"/>
      <c r="AI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</row>
    <row r="281" spans="30:49" x14ac:dyDescent="0.3">
      <c r="AD281"/>
      <c r="AE281"/>
      <c r="AF281"/>
      <c r="AG281"/>
      <c r="AH281"/>
      <c r="AI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</row>
    <row r="282" spans="30:49" x14ac:dyDescent="0.3">
      <c r="AD282"/>
      <c r="AE282"/>
      <c r="AF282"/>
      <c r="AG282"/>
      <c r="AH282"/>
      <c r="AI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</row>
    <row r="283" spans="30:49" x14ac:dyDescent="0.3">
      <c r="AD283"/>
      <c r="AE283"/>
      <c r="AF283"/>
      <c r="AG283"/>
      <c r="AH283"/>
      <c r="AI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</row>
    <row r="284" spans="30:49" x14ac:dyDescent="0.3">
      <c r="AD284"/>
      <c r="AE284"/>
      <c r="AF284"/>
      <c r="AG284"/>
      <c r="AH284"/>
      <c r="AI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</row>
    <row r="285" spans="30:49" x14ac:dyDescent="0.3">
      <c r="AD285"/>
      <c r="AE285"/>
      <c r="AF285"/>
      <c r="AG285"/>
      <c r="AH285"/>
      <c r="AI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</row>
    <row r="286" spans="30:49" x14ac:dyDescent="0.3">
      <c r="AD286"/>
      <c r="AE286"/>
      <c r="AF286"/>
      <c r="AG286"/>
      <c r="AH286"/>
      <c r="AI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</row>
    <row r="287" spans="30:49" x14ac:dyDescent="0.3">
      <c r="AD287"/>
      <c r="AE287"/>
      <c r="AF287"/>
      <c r="AG287"/>
      <c r="AH287"/>
      <c r="AI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</row>
    <row r="288" spans="30:49" x14ac:dyDescent="0.3">
      <c r="AD288"/>
      <c r="AE288"/>
      <c r="AF288"/>
      <c r="AG288"/>
      <c r="AH288"/>
      <c r="AI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</row>
    <row r="289" spans="30:49" x14ac:dyDescent="0.3">
      <c r="AD289"/>
      <c r="AE289"/>
      <c r="AF289"/>
      <c r="AG289"/>
      <c r="AH289"/>
      <c r="AI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</row>
    <row r="290" spans="30:49" x14ac:dyDescent="0.3">
      <c r="AD290"/>
      <c r="AE290"/>
      <c r="AF290"/>
      <c r="AG290"/>
      <c r="AH290"/>
      <c r="AI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</row>
    <row r="291" spans="30:49" x14ac:dyDescent="0.3">
      <c r="AD291"/>
      <c r="AE291"/>
      <c r="AF291"/>
      <c r="AG291"/>
      <c r="AH291"/>
      <c r="AI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</row>
    <row r="292" spans="30:49" x14ac:dyDescent="0.3">
      <c r="AD292"/>
      <c r="AE292"/>
      <c r="AF292"/>
      <c r="AG292"/>
      <c r="AH292"/>
      <c r="AI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</row>
    <row r="293" spans="30:49" x14ac:dyDescent="0.3">
      <c r="AD293"/>
      <c r="AE293"/>
      <c r="AF293"/>
      <c r="AG293"/>
      <c r="AH293"/>
      <c r="AI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</row>
    <row r="294" spans="30:49" x14ac:dyDescent="0.3">
      <c r="AD294"/>
      <c r="AE294"/>
      <c r="AF294"/>
      <c r="AG294"/>
      <c r="AH294"/>
      <c r="AI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</row>
    <row r="295" spans="30:49" x14ac:dyDescent="0.3">
      <c r="AD295"/>
      <c r="AE295"/>
      <c r="AF295"/>
      <c r="AG295"/>
      <c r="AH295"/>
      <c r="AI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</row>
    <row r="296" spans="30:49" x14ac:dyDescent="0.3">
      <c r="AD296"/>
      <c r="AE296"/>
      <c r="AF296"/>
      <c r="AG296"/>
      <c r="AH296"/>
      <c r="AI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</row>
    <row r="297" spans="30:49" x14ac:dyDescent="0.3">
      <c r="AD297"/>
      <c r="AE297"/>
      <c r="AF297"/>
      <c r="AG297"/>
      <c r="AH297"/>
      <c r="AI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</row>
    <row r="298" spans="30:49" x14ac:dyDescent="0.3">
      <c r="AD298"/>
      <c r="AE298"/>
      <c r="AF298"/>
      <c r="AG298"/>
      <c r="AH298"/>
      <c r="AI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</row>
    <row r="299" spans="30:49" x14ac:dyDescent="0.3">
      <c r="AD299"/>
      <c r="AE299"/>
      <c r="AF299"/>
      <c r="AG299"/>
      <c r="AH299"/>
      <c r="AI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</row>
    <row r="300" spans="30:49" x14ac:dyDescent="0.3">
      <c r="AD300"/>
      <c r="AE300"/>
      <c r="AF300"/>
      <c r="AG300"/>
      <c r="AH300"/>
      <c r="AI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</row>
    <row r="301" spans="30:49" x14ac:dyDescent="0.3">
      <c r="AD301"/>
      <c r="AE301"/>
      <c r="AF301"/>
      <c r="AG301"/>
      <c r="AH301"/>
      <c r="AI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</row>
    <row r="302" spans="30:49" x14ac:dyDescent="0.3">
      <c r="AD302"/>
      <c r="AE302"/>
      <c r="AF302"/>
      <c r="AG302"/>
      <c r="AH302"/>
      <c r="AI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</row>
    <row r="303" spans="30:49" x14ac:dyDescent="0.3">
      <c r="AD303"/>
      <c r="AE303"/>
      <c r="AF303"/>
      <c r="AG303"/>
      <c r="AH303"/>
      <c r="AI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</row>
    <row r="304" spans="30:49" x14ac:dyDescent="0.3">
      <c r="AD304"/>
      <c r="AE304"/>
      <c r="AF304"/>
      <c r="AG304"/>
      <c r="AH304"/>
      <c r="AI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</row>
    <row r="305" spans="30:49" x14ac:dyDescent="0.3">
      <c r="AD305"/>
      <c r="AE305"/>
      <c r="AF305"/>
      <c r="AG305"/>
      <c r="AH305"/>
      <c r="AI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</row>
    <row r="306" spans="30:49" x14ac:dyDescent="0.3">
      <c r="AD306"/>
      <c r="AE306"/>
      <c r="AF306"/>
      <c r="AG306"/>
      <c r="AH306"/>
      <c r="AI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</row>
    <row r="307" spans="30:49" x14ac:dyDescent="0.3">
      <c r="AD307"/>
      <c r="AE307"/>
      <c r="AF307"/>
      <c r="AG307"/>
      <c r="AH307"/>
      <c r="AI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</row>
    <row r="308" spans="30:49" x14ac:dyDescent="0.3">
      <c r="AD308"/>
      <c r="AE308"/>
      <c r="AF308"/>
      <c r="AG308"/>
      <c r="AH308"/>
      <c r="AI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</row>
    <row r="309" spans="30:49" x14ac:dyDescent="0.3">
      <c r="AD309"/>
      <c r="AE309"/>
      <c r="AF309"/>
      <c r="AG309"/>
      <c r="AH309"/>
      <c r="AI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</row>
    <row r="310" spans="30:49" x14ac:dyDescent="0.3">
      <c r="AD310"/>
      <c r="AE310"/>
      <c r="AF310"/>
      <c r="AG310"/>
      <c r="AH310"/>
      <c r="AI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</row>
    <row r="311" spans="30:49" x14ac:dyDescent="0.3">
      <c r="AD311"/>
      <c r="AE311"/>
      <c r="AF311"/>
      <c r="AG311"/>
      <c r="AH311"/>
      <c r="AI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</row>
    <row r="312" spans="30:49" x14ac:dyDescent="0.3">
      <c r="AD312"/>
      <c r="AE312"/>
      <c r="AF312"/>
      <c r="AG312"/>
      <c r="AH312"/>
      <c r="AI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</row>
    <row r="313" spans="30:49" x14ac:dyDescent="0.3">
      <c r="AD313"/>
      <c r="AE313"/>
      <c r="AF313"/>
      <c r="AG313"/>
      <c r="AH313"/>
      <c r="AI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</row>
    <row r="314" spans="30:49" x14ac:dyDescent="0.3">
      <c r="AD314"/>
      <c r="AE314"/>
      <c r="AF314"/>
      <c r="AG314"/>
      <c r="AH314"/>
      <c r="AI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</row>
    <row r="315" spans="30:49" x14ac:dyDescent="0.3">
      <c r="AD315"/>
      <c r="AE315"/>
      <c r="AF315"/>
      <c r="AG315"/>
      <c r="AH315"/>
      <c r="AI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</row>
    <row r="316" spans="30:49" x14ac:dyDescent="0.3">
      <c r="AD316"/>
      <c r="AE316"/>
      <c r="AF316"/>
      <c r="AG316"/>
      <c r="AH316"/>
      <c r="AI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</row>
  </sheetData>
  <phoneticPr fontId="6" type="noConversion"/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11CF-F8BA-455F-B80A-33CA06A14F99}">
  <dimension ref="A1:AL328"/>
  <sheetViews>
    <sheetView showGridLines="0" zoomScale="57" zoomScaleNormal="57" workbookViewId="0">
      <selection sqref="A1:XFD1048576"/>
    </sheetView>
  </sheetViews>
  <sheetFormatPr defaultRowHeight="14.4" x14ac:dyDescent="0.3"/>
  <cols>
    <col min="1" max="1" width="30.6640625" style="11" bestFit="1" customWidth="1"/>
    <col min="2" max="2" width="38.6640625" style="11" bestFit="1" customWidth="1"/>
    <col min="3" max="3" width="46.33203125" style="11" bestFit="1" customWidth="1"/>
    <col min="4" max="4" width="31.109375" style="11" bestFit="1" customWidth="1"/>
    <col min="5" max="5" width="20.21875" style="11" bestFit="1" customWidth="1"/>
    <col min="6" max="6" width="22.88671875" style="19" bestFit="1" customWidth="1"/>
    <col min="8" max="8" width="42.5546875" bestFit="1" customWidth="1"/>
    <col min="9" max="9" width="2.44140625" style="2" bestFit="1" customWidth="1"/>
    <col min="10" max="10" width="11.77734375" style="2" bestFit="1" customWidth="1"/>
    <col min="11" max="11" width="2.44140625" style="2" bestFit="1" customWidth="1"/>
    <col min="12" max="12" width="11.44140625" style="2" bestFit="1" customWidth="1"/>
    <col min="13" max="13" width="2.44140625" style="2" bestFit="1" customWidth="1"/>
    <col min="14" max="14" width="7.6640625" style="2" bestFit="1" customWidth="1"/>
    <col min="15" max="15" width="2.44140625" style="2" bestFit="1" customWidth="1"/>
    <col min="16" max="16" width="16.88671875" style="21" bestFit="1" customWidth="1"/>
    <col min="17" max="17" width="6" style="12" bestFit="1" customWidth="1"/>
    <col min="18" max="18" width="13.21875" bestFit="1" customWidth="1"/>
    <col min="19" max="19" width="9.21875" style="12" bestFit="1" customWidth="1"/>
    <col min="21" max="21" width="38.88671875" bestFit="1" customWidth="1"/>
    <col min="24" max="24" width="11.6640625" customWidth="1"/>
    <col min="25" max="25" width="7.109375" bestFit="1" customWidth="1"/>
    <col min="27" max="27" width="17.109375" bestFit="1" customWidth="1"/>
    <col min="29" max="29" width="9.44140625" bestFit="1" customWidth="1"/>
    <col min="31" max="31" width="28.21875" style="2" bestFit="1" customWidth="1"/>
    <col min="32" max="32" width="34.21875" style="2" bestFit="1" customWidth="1"/>
    <col min="33" max="33" width="43.44140625" style="2" bestFit="1" customWidth="1"/>
    <col min="34" max="34" width="25.6640625" style="2" bestFit="1" customWidth="1"/>
    <col min="35" max="35" width="13.44140625" style="2" bestFit="1" customWidth="1"/>
    <col min="36" max="36" width="17.33203125" style="2" bestFit="1" customWidth="1"/>
    <col min="37" max="37" width="8.88671875" style="2"/>
    <col min="38" max="38" width="40.44140625" style="2" bestFit="1" customWidth="1"/>
    <col min="39" max="39" width="2.5546875" bestFit="1" customWidth="1"/>
    <col min="40" max="40" width="11.5546875" bestFit="1" customWidth="1"/>
    <col min="41" max="41" width="2.5546875" bestFit="1" customWidth="1"/>
    <col min="42" max="42" width="11.21875" bestFit="1" customWidth="1"/>
    <col min="43" max="43" width="2.5546875" bestFit="1" customWidth="1"/>
    <col min="44" max="44" width="7.6640625" bestFit="1" customWidth="1"/>
    <col min="45" max="45" width="2.5546875" bestFit="1" customWidth="1"/>
    <col min="46" max="46" width="8.109375" bestFit="1" customWidth="1"/>
    <col min="47" max="47" width="5.33203125" bestFit="1" customWidth="1"/>
    <col min="48" max="48" width="13.6640625" bestFit="1" customWidth="1"/>
    <col min="49" max="49" width="7.33203125" bestFit="1" customWidth="1"/>
    <col min="50" max="50" width="36" bestFit="1" customWidth="1"/>
  </cols>
  <sheetData>
    <row r="1" spans="1:29" x14ac:dyDescent="0.3">
      <c r="A1" s="6"/>
      <c r="B1" s="7"/>
      <c r="C1" s="7"/>
      <c r="D1" s="7"/>
      <c r="E1" s="7"/>
      <c r="F1" s="17"/>
    </row>
    <row r="2" spans="1:29" x14ac:dyDescent="0.3">
      <c r="A2" s="8" t="s">
        <v>57</v>
      </c>
      <c r="B2" s="7"/>
      <c r="C2" s="7"/>
      <c r="D2" s="7"/>
      <c r="E2" s="7"/>
      <c r="F2" s="17"/>
    </row>
    <row r="3" spans="1:29" ht="15" thickBot="1" x14ac:dyDescent="0.35">
      <c r="A3" s="6"/>
      <c r="B3" s="7"/>
      <c r="C3" s="7"/>
      <c r="D3" s="7"/>
      <c r="E3" s="7"/>
      <c r="F3" s="17"/>
      <c r="R3" s="2" t="s">
        <v>76</v>
      </c>
      <c r="S3" s="25" t="s">
        <v>77</v>
      </c>
      <c r="U3" s="12" t="s">
        <v>87</v>
      </c>
    </row>
    <row r="4" spans="1:29" ht="15" thickBot="1" x14ac:dyDescent="0.3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8" t="s">
        <v>6</v>
      </c>
      <c r="H4" t="s">
        <v>72</v>
      </c>
      <c r="I4" s="2" t="s">
        <v>73</v>
      </c>
      <c r="J4" s="13" t="str">
        <f>TRUNC(SUMIF(A4:A8,"Residential Load",F4:F8),3)&amp;"(0.6)"</f>
        <v>460(0.6)</v>
      </c>
      <c r="K4" s="2" t="s">
        <v>74</v>
      </c>
      <c r="L4" s="13" t="str">
        <f>TRUNC(SUMIF(A4:A8,"Commercial Load",F4:F8),3)&amp;"(0.7)"</f>
        <v>517.5(0.7)</v>
      </c>
      <c r="M4" s="2" t="s">
        <v>74</v>
      </c>
      <c r="N4" s="13" t="str">
        <f>TRUNC(SUMIF(A4:A8,"Industrial Load",F4:F8),3)&amp;"(0.65)"</f>
        <v>0(0.65)</v>
      </c>
      <c r="O4" s="2" t="str">
        <f>"="</f>
        <v>=</v>
      </c>
      <c r="P4" s="20">
        <f>((SUMIF(A4:A8,"Residential Load",F4:F8)*MID(J4,LEN(J4)-3,3))/J5)+((SUMIF(A4:A8,"Commercial Load",F4:F8)*MID(L4,LEN(L4)-3,3))/L5)+((SUMIF(A4:A8,"Industrial Load",F4:F8)*MID(N4,LEN(N4)-3,3))/N5)</f>
        <v>386.11643835616439</v>
      </c>
      <c r="Q4" s="22" t="s">
        <v>75</v>
      </c>
      <c r="R4" s="2">
        <v>0.9</v>
      </c>
      <c r="S4" s="21">
        <f>P4/R4</f>
        <v>429.01826484018267</v>
      </c>
      <c r="U4" s="12" t="s">
        <v>89</v>
      </c>
      <c r="Y4">
        <f>MID(U4,9,SEARCH("T",U4,1)-14)*1</f>
        <v>450</v>
      </c>
    </row>
    <row r="5" spans="1:29" x14ac:dyDescent="0.3">
      <c r="A5" s="6" t="s">
        <v>7</v>
      </c>
      <c r="B5" s="7">
        <v>50</v>
      </c>
      <c r="C5" s="7">
        <v>40</v>
      </c>
      <c r="D5" s="7">
        <v>1</v>
      </c>
      <c r="E5" s="7">
        <v>230</v>
      </c>
      <c r="F5" s="17">
        <f>Table122110128[[#This Row],[NO. OF ESTABLISHMENTS]]*Table122110128[[#This Row],[ESTIMATED AVERAGE AMPACITY]]*Table122110128[[#This Row],[VOLTAGE]]/1000</f>
        <v>460</v>
      </c>
      <c r="J5" s="2">
        <v>2</v>
      </c>
      <c r="L5" s="2">
        <v>1.46</v>
      </c>
      <c r="N5" s="2">
        <v>0.86</v>
      </c>
      <c r="AA5" t="s">
        <v>1</v>
      </c>
    </row>
    <row r="6" spans="1:29" x14ac:dyDescent="0.3">
      <c r="A6" s="6" t="s">
        <v>8</v>
      </c>
      <c r="B6" s="7">
        <v>25</v>
      </c>
      <c r="C6" s="7">
        <v>90</v>
      </c>
      <c r="D6" s="7">
        <v>1</v>
      </c>
      <c r="E6" s="7">
        <v>230</v>
      </c>
      <c r="F6" s="17">
        <f>Table122110128[[#This Row],[NO. OF ESTABLISHMENTS]]*Table122110128[[#This Row],[ESTIMATED AVERAGE AMPACITY]]*Table122110128[[#This Row],[VOLTAGE]]/1000</f>
        <v>517.5</v>
      </c>
      <c r="AA6" t="s">
        <v>7</v>
      </c>
      <c r="AC6">
        <f ca="1">SUMIF($A$4:$F$129,AA6,$F$4:$F$129)</f>
        <v>8619.25</v>
      </c>
    </row>
    <row r="7" spans="1:29" x14ac:dyDescent="0.3">
      <c r="A7" s="4" t="s">
        <v>78</v>
      </c>
      <c r="B7" s="7">
        <v>1</v>
      </c>
      <c r="C7" s="7">
        <v>4000</v>
      </c>
      <c r="D7" s="7">
        <v>3</v>
      </c>
      <c r="E7" s="7">
        <v>400</v>
      </c>
      <c r="F7" s="17">
        <f>SQRT(3)*Table122110128[[#This Row],[NO. OF ESTABLISHMENTS]]*Table122110128[[#This Row],[ESTIMATED AVERAGE AMPACITY]]*Table122110128[[#This Row],[VOLTAGE]]/1000</f>
        <v>2771.2812921102031</v>
      </c>
      <c r="H7" t="s">
        <v>79</v>
      </c>
      <c r="I7" s="2" t="str">
        <f>"="</f>
        <v>=</v>
      </c>
      <c r="J7" s="2" t="str">
        <f>IF((COUNTIF(A4:A8,"Commercial Load (Bulk)")&gt;0),TRUNC(LOOKUP("Commercial Load (Bulk)",A4:A8,F4:F8))&amp;"(0.7)",IF(COUNTIF(A4:A8,"Industrial Load (Bulk)")&gt;0,TRUNC(LOOKUP("Industrial Load (Bulk)",A4:A8,F4:F8))&amp;"(0.7)",""))</f>
        <v>2771(0.7)</v>
      </c>
      <c r="P7" s="24">
        <f>IF((COUNTIF(A4:A8,"Commercial Load (Bulk)")&gt;0),(LOOKUP("Commercial Load (Bulk)",A4:A8,F4:F8)*MID(J7,LEN(J7)-3,3))/J8,IF(COUNTIF(A4:A8,"Industrial Load (Bulk)")&gt;0,(LOOKUP("Industrial Load (Bulk)",A4:A8,F4:F8)*MID(J7,LEN(J7)-3,3))/J8,""))</f>
        <v>2155.441004974602</v>
      </c>
      <c r="Q7" s="12" t="s">
        <v>77</v>
      </c>
      <c r="R7" s="2"/>
      <c r="S7" s="21" t="str">
        <f>IF(ISBLANK(R7),"",P7/R7)</f>
        <v/>
      </c>
      <c r="U7" s="12" t="s">
        <v>93</v>
      </c>
      <c r="Y7">
        <f>MID(U7,9,SEARCH("T",U7,1)-14)*1</f>
        <v>2500</v>
      </c>
      <c r="AA7" t="s">
        <v>8</v>
      </c>
      <c r="AC7">
        <f t="shared" ref="AC7:AC8" ca="1" si="0">SUMIF($A$4:$F$129,AA7,$F$4:$F$129)</f>
        <v>4433.25</v>
      </c>
    </row>
    <row r="8" spans="1:29" x14ac:dyDescent="0.3">
      <c r="A8" s="6" t="s">
        <v>9</v>
      </c>
      <c r="B8" s="7">
        <v>0</v>
      </c>
      <c r="C8" s="7">
        <v>0</v>
      </c>
      <c r="D8" s="7">
        <v>0</v>
      </c>
      <c r="E8" s="7">
        <v>0</v>
      </c>
      <c r="F8" s="17">
        <v>0</v>
      </c>
      <c r="J8" s="23" t="str">
        <f>IF((COUNTIF(A4:A8,"Commercial Load (Bulk)")&gt;0),"0.9",IF(COUNTIF(A4:A8,"Industrial Load (Bulk)")&gt;0,"0.9",""))</f>
        <v>0.9</v>
      </c>
      <c r="R8" s="2"/>
      <c r="S8" s="21"/>
      <c r="AA8" t="s">
        <v>9</v>
      </c>
      <c r="AC8">
        <f t="shared" ca="1" si="0"/>
        <v>0</v>
      </c>
    </row>
    <row r="9" spans="1:29" x14ac:dyDescent="0.3">
      <c r="A9" s="6"/>
      <c r="B9" s="7"/>
      <c r="C9" s="7"/>
      <c r="D9" s="7"/>
      <c r="E9" s="7"/>
      <c r="F9" s="17"/>
    </row>
    <row r="10" spans="1:29" x14ac:dyDescent="0.3">
      <c r="A10" s="6"/>
      <c r="B10" s="7"/>
      <c r="C10" s="7"/>
      <c r="D10" s="7"/>
      <c r="E10" s="7"/>
      <c r="F10" s="17"/>
    </row>
    <row r="11" spans="1:29" x14ac:dyDescent="0.3">
      <c r="A11" s="8" t="s">
        <v>58</v>
      </c>
      <c r="B11" s="7"/>
      <c r="C11" s="7"/>
      <c r="D11" s="7"/>
      <c r="E11" s="7"/>
      <c r="F11" s="17"/>
    </row>
    <row r="12" spans="1:29" ht="15" thickBot="1" x14ac:dyDescent="0.35">
      <c r="A12" s="6"/>
      <c r="B12" s="7"/>
      <c r="C12" s="7"/>
      <c r="D12" s="7"/>
      <c r="E12" s="7"/>
      <c r="F12" s="17"/>
      <c r="R12" s="2" t="s">
        <v>76</v>
      </c>
      <c r="S12" s="25" t="s">
        <v>77</v>
      </c>
    </row>
    <row r="13" spans="1:29" ht="15" thickBot="1" x14ac:dyDescent="0.35">
      <c r="A13" s="9" t="s">
        <v>1</v>
      </c>
      <c r="B13" s="10" t="s">
        <v>2</v>
      </c>
      <c r="C13" s="10" t="s">
        <v>3</v>
      </c>
      <c r="D13" s="10" t="s">
        <v>4</v>
      </c>
      <c r="E13" s="10" t="s">
        <v>5</v>
      </c>
      <c r="F13" s="18" t="s">
        <v>6</v>
      </c>
      <c r="H13" t="s">
        <v>72</v>
      </c>
      <c r="I13" s="2" t="s">
        <v>73</v>
      </c>
      <c r="J13" s="13" t="str">
        <f>TRUNC(SUMIF(A12:A16,"Residential Load",F12:F16),3)&amp;"(0.6)"</f>
        <v>603.75(0.6)</v>
      </c>
      <c r="K13" s="2" t="s">
        <v>74</v>
      </c>
      <c r="L13" s="13" t="str">
        <f>TRUNC(SUMIF(A12:A16,"Commercial Load",F12:F16),3)&amp;"(0.7)"</f>
        <v>368(0.7)</v>
      </c>
      <c r="M13" s="2" t="s">
        <v>74</v>
      </c>
      <c r="N13" s="13" t="str">
        <f>TRUNC(SUMIF(A12:A16,"Industrial Load",F12:F16),3)&amp;"(0.65)"</f>
        <v>0(0.65)</v>
      </c>
      <c r="O13" s="2" t="str">
        <f>"="</f>
        <v>=</v>
      </c>
      <c r="P13" s="20">
        <f>((SUMIF(A12:A16,"Residential Load",F12:F16)*MID(J13,LEN(J13)-3,3))/J14)+((SUMIF(A12:A16,"Commercial Load",F12:F16)*MID(L13,LEN(L13)-3,3))/L14)+((SUMIF(A12:A16,"Industrial Load",F12:F16)*MID(N13,LEN(N13)-3,3))/N14)</f>
        <v>357.56335616438355</v>
      </c>
      <c r="Q13" s="22" t="s">
        <v>75</v>
      </c>
      <c r="R13" s="2">
        <v>0.9</v>
      </c>
      <c r="S13" s="21">
        <f>P13/R13</f>
        <v>397.29261796042613</v>
      </c>
      <c r="U13" s="12" t="s">
        <v>89</v>
      </c>
      <c r="Y13">
        <f>MID(U13,9,SEARCH("T",U13,1)-14)*1</f>
        <v>450</v>
      </c>
    </row>
    <row r="14" spans="1:29" x14ac:dyDescent="0.3">
      <c r="A14" s="6" t="s">
        <v>7</v>
      </c>
      <c r="B14" s="7">
        <v>75</v>
      </c>
      <c r="C14" s="7">
        <v>35</v>
      </c>
      <c r="D14" s="7">
        <v>1</v>
      </c>
      <c r="E14" s="7">
        <v>230</v>
      </c>
      <c r="F14" s="17">
        <f>Table1523111129[[#This Row],[NO. OF ESTABLISHMENTS]]*Table1523111129[[#This Row],[ESTIMATED AVERAGE AMPACITY]]*Table1523111129[[#This Row],[VOLTAGE]]/1000</f>
        <v>603.75</v>
      </c>
      <c r="J14" s="2">
        <v>2</v>
      </c>
      <c r="L14" s="2">
        <v>1.46</v>
      </c>
      <c r="N14" s="2">
        <v>0.86</v>
      </c>
    </row>
    <row r="15" spans="1:29" x14ac:dyDescent="0.3">
      <c r="A15" s="6" t="s">
        <v>8</v>
      </c>
      <c r="B15" s="7">
        <v>20</v>
      </c>
      <c r="C15" s="7">
        <v>80</v>
      </c>
      <c r="D15" s="7">
        <v>1</v>
      </c>
      <c r="E15" s="7">
        <v>230</v>
      </c>
      <c r="F15" s="17">
        <f>Table1523111129[[#This Row],[NO. OF ESTABLISHMENTS]]*Table1523111129[[#This Row],[ESTIMATED AVERAGE AMPACITY]]*Table1523111129[[#This Row],[VOLTAGE]]/1000</f>
        <v>368</v>
      </c>
    </row>
    <row r="16" spans="1:29" x14ac:dyDescent="0.3">
      <c r="A16" s="6" t="s">
        <v>9</v>
      </c>
      <c r="B16" s="7">
        <v>0</v>
      </c>
      <c r="C16" s="7">
        <v>0</v>
      </c>
      <c r="D16" s="7">
        <v>0</v>
      </c>
      <c r="E16" s="7">
        <v>0</v>
      </c>
      <c r="F16" s="17">
        <v>0</v>
      </c>
      <c r="H16" t="s">
        <v>79</v>
      </c>
      <c r="I16" s="2" t="str">
        <f>"="</f>
        <v>=</v>
      </c>
      <c r="J16" s="2" t="str">
        <f>IF((COUNTIF(A13:A17,"Commercial Load (Bulk)")&gt;0),TRUNC(LOOKUP("Commercial Load (Bulk)",A13:A17,F13:F17))&amp;"(0.7)",IF(COUNTIF(A13:A17,"Industrial Load (Bulk)")&gt;0,TRUNC(LOOKUP("Industrial Load (Bulk)",A13:A17,F13:F17))&amp;"(0.7)",""))</f>
        <v/>
      </c>
      <c r="P16" s="24" t="str">
        <f>IF((COUNTIF(A13:A17,"Commercial Load (Bulk)")&gt;0),(LOOKUP("Commercial Load (Bulk)",A13:A17,F13:F17)*MID(J16,LEN(J16)-3,3))/J17,IF(COUNTIF(A13:A17,"Industrial Load (Bulk)")&gt;0,(LOOKUP("Industrial Load (Bulk)",A13:A17,F13:F17)*MID(J16,LEN(J16)-3,3))/J17,""))</f>
        <v/>
      </c>
      <c r="R16" s="2"/>
      <c r="S16" s="21" t="str">
        <f>IF(ISBLANK(R16),"",P16/R16)</f>
        <v/>
      </c>
    </row>
    <row r="17" spans="1:25" x14ac:dyDescent="0.3">
      <c r="A17" s="6"/>
      <c r="B17" s="7"/>
      <c r="C17" s="7"/>
      <c r="D17" s="7"/>
      <c r="E17" s="7"/>
      <c r="F17" s="17"/>
      <c r="J17" s="23" t="str">
        <f>IF((COUNTIF(A13:A17,"Commercial Load (Bulk)")&gt;0),"0.9",IF(COUNTIF(A13:A17,"Industrial Load (Bulk)")&gt;0,"0.9",""))</f>
        <v/>
      </c>
      <c r="R17" s="2"/>
      <c r="S17" s="21"/>
    </row>
    <row r="18" spans="1:25" x14ac:dyDescent="0.3">
      <c r="A18" s="6"/>
      <c r="B18" s="7"/>
      <c r="C18" s="7"/>
      <c r="D18" s="7"/>
      <c r="E18" s="7"/>
      <c r="F18" s="17"/>
    </row>
    <row r="19" spans="1:25" x14ac:dyDescent="0.3">
      <c r="A19" s="8" t="s">
        <v>59</v>
      </c>
      <c r="B19" s="7"/>
      <c r="C19" s="7"/>
      <c r="D19" s="7"/>
      <c r="E19" s="7"/>
      <c r="F19" s="17"/>
    </row>
    <row r="20" spans="1:25" ht="15" thickBot="1" x14ac:dyDescent="0.35">
      <c r="A20" s="6"/>
      <c r="B20" s="7"/>
      <c r="C20" s="7"/>
      <c r="D20" s="7"/>
      <c r="E20" s="7"/>
      <c r="F20" s="17"/>
      <c r="R20" s="2" t="s">
        <v>76</v>
      </c>
      <c r="S20" s="25" t="s">
        <v>77</v>
      </c>
    </row>
    <row r="21" spans="1:25" ht="15" thickBot="1" x14ac:dyDescent="0.35">
      <c r="A21" s="9" t="s">
        <v>1</v>
      </c>
      <c r="B21" s="10" t="s">
        <v>2</v>
      </c>
      <c r="C21" s="10" t="s">
        <v>3</v>
      </c>
      <c r="D21" s="10" t="s">
        <v>4</v>
      </c>
      <c r="E21" s="10" t="s">
        <v>5</v>
      </c>
      <c r="F21" s="18" t="s">
        <v>6</v>
      </c>
      <c r="H21" t="s">
        <v>72</v>
      </c>
      <c r="I21" s="2" t="s">
        <v>73</v>
      </c>
      <c r="J21" s="13" t="str">
        <f>TRUNC(SUMIF(A20:A24,"Residential Load",F20:F24),3)&amp;"(0.6)"</f>
        <v>966(0.6)</v>
      </c>
      <c r="K21" s="2" t="s">
        <v>74</v>
      </c>
      <c r="L21" s="13" t="str">
        <f>TRUNC(SUMIF(A20:A24,"Commercial Load",F20:F24),3)&amp;"(0.7)"</f>
        <v>431.25(0.7)</v>
      </c>
      <c r="M21" s="2" t="s">
        <v>74</v>
      </c>
      <c r="N21" s="13" t="str">
        <f>TRUNC(SUMIF(A20:A24,"Industrial Load",F20:F24),3)&amp;"(0.65)"</f>
        <v>0(0.65)</v>
      </c>
      <c r="O21" s="2" t="str">
        <f>"="</f>
        <v>=</v>
      </c>
      <c r="P21" s="20">
        <f>((SUMIF(A20:A24,"Residential Load",F20:F24)*MID(J21,LEN(J21)-3,3))/J22)+((SUMIF(A20:A24,"Commercial Load",F20:F24)*MID(L21,LEN(L21)-3,3))/L22)+((SUMIF(A20:A24,"Industrial Load",F20:F24)*MID(N21,LEN(N21)-3,3))/N22)</f>
        <v>496.56369863013697</v>
      </c>
      <c r="Q21" s="22" t="s">
        <v>75</v>
      </c>
      <c r="R21" s="2">
        <v>0.9</v>
      </c>
      <c r="S21" s="21">
        <f>P21/R21</f>
        <v>551.73744292237438</v>
      </c>
      <c r="U21" s="12" t="s">
        <v>95</v>
      </c>
      <c r="Y21">
        <f>MID(U21,9,SEARCH("T",U21,1)-14)*1</f>
        <v>600</v>
      </c>
    </row>
    <row r="22" spans="1:25" x14ac:dyDescent="0.3">
      <c r="A22" s="6" t="s">
        <v>7</v>
      </c>
      <c r="B22" s="7">
        <v>140</v>
      </c>
      <c r="C22" s="7">
        <v>30</v>
      </c>
      <c r="D22" s="7">
        <v>1</v>
      </c>
      <c r="E22" s="7">
        <v>230</v>
      </c>
      <c r="F22" s="17">
        <f>Table1624112130[[#This Row],[NO. OF ESTABLISHMENTS]]*Table1624112130[[#This Row],[ESTIMATED AVERAGE AMPACITY]]*Table1624112130[[#This Row],[VOLTAGE]]/1000</f>
        <v>966</v>
      </c>
      <c r="J22" s="2">
        <v>2</v>
      </c>
      <c r="L22" s="2">
        <v>1.46</v>
      </c>
      <c r="N22" s="2">
        <v>0.86</v>
      </c>
    </row>
    <row r="23" spans="1:25" x14ac:dyDescent="0.3">
      <c r="A23" s="6" t="s">
        <v>8</v>
      </c>
      <c r="B23" s="7">
        <v>25</v>
      </c>
      <c r="C23" s="7">
        <v>75</v>
      </c>
      <c r="D23" s="7">
        <v>1</v>
      </c>
      <c r="E23" s="7">
        <v>230</v>
      </c>
      <c r="F23" s="17">
        <f>Table1624112130[[#This Row],[NO. OF ESTABLISHMENTS]]*Table1624112130[[#This Row],[ESTIMATED AVERAGE AMPACITY]]*Table1624112130[[#This Row],[VOLTAGE]]/1000</f>
        <v>431.25</v>
      </c>
    </row>
    <row r="24" spans="1:25" x14ac:dyDescent="0.3">
      <c r="A24" s="6" t="s">
        <v>9</v>
      </c>
      <c r="B24" s="7">
        <v>0</v>
      </c>
      <c r="C24" s="7">
        <v>0</v>
      </c>
      <c r="D24" s="7">
        <v>0</v>
      </c>
      <c r="E24" s="7">
        <v>0</v>
      </c>
      <c r="F24" s="17">
        <v>0</v>
      </c>
      <c r="H24" t="s">
        <v>79</v>
      </c>
      <c r="I24" s="2" t="str">
        <f>"="</f>
        <v>=</v>
      </c>
      <c r="J24" s="2" t="str">
        <f>IF((COUNTIF(A21:A25,"Commercial Load (Bulk)")&gt;0),TRUNC(LOOKUP("Commercial Load (Bulk)",A21:A25,F21:F25))&amp;"(0.7)",IF(COUNTIF(A21:A25,"Industrial Load (Bulk)")&gt;0,TRUNC(LOOKUP("Industrial Load (Bulk)",A21:A25,F21:F25))&amp;"(0.7)",""))</f>
        <v/>
      </c>
      <c r="P24" s="24" t="str">
        <f>IF((COUNTIF(A21:A25,"Commercial Load (Bulk)")&gt;0),(LOOKUP("Commercial Load (Bulk)",A21:A25,F21:F25)*MID(J24,LEN(J24)-3,3))/J25,IF(COUNTIF(A21:A25,"Industrial Load (Bulk)")&gt;0,(LOOKUP("Industrial Load (Bulk)",A21:A25,F21:F25)*MID(J24,LEN(J24)-3,3))/J25,""))</f>
        <v/>
      </c>
      <c r="R24" s="2"/>
      <c r="S24" s="21" t="str">
        <f>IF(ISBLANK(R24),"",P24/R24)</f>
        <v/>
      </c>
    </row>
    <row r="25" spans="1:25" x14ac:dyDescent="0.3">
      <c r="A25" s="6"/>
      <c r="B25" s="7"/>
      <c r="C25" s="7"/>
      <c r="D25" s="7"/>
      <c r="E25" s="7"/>
      <c r="F25" s="17"/>
      <c r="J25" s="23" t="str">
        <f>IF((COUNTIF(A21:A25,"Commercial Load (Bulk)")&gt;0),"0.9",IF(COUNTIF(A21:A25,"Industrial Load (Bulk)")&gt;0,"0.9",""))</f>
        <v/>
      </c>
      <c r="R25" s="2"/>
      <c r="S25" s="21"/>
    </row>
    <row r="26" spans="1:25" x14ac:dyDescent="0.3">
      <c r="A26" s="6"/>
      <c r="B26" s="7"/>
      <c r="C26" s="7"/>
      <c r="D26" s="7"/>
      <c r="E26" s="7"/>
      <c r="F26" s="17"/>
    </row>
    <row r="27" spans="1:25" x14ac:dyDescent="0.3">
      <c r="A27" s="8" t="s">
        <v>60</v>
      </c>
      <c r="B27" s="7"/>
      <c r="C27" s="7"/>
      <c r="D27" s="7"/>
      <c r="E27" s="7"/>
      <c r="F27" s="17"/>
    </row>
    <row r="28" spans="1:25" ht="15" thickBot="1" x14ac:dyDescent="0.35">
      <c r="A28" s="6"/>
      <c r="B28" s="7"/>
      <c r="C28" s="7"/>
      <c r="D28" s="7"/>
      <c r="E28" s="7"/>
      <c r="F28" s="17"/>
      <c r="R28" s="2" t="s">
        <v>76</v>
      </c>
      <c r="S28" s="25" t="s">
        <v>77</v>
      </c>
    </row>
    <row r="29" spans="1:25" ht="15" thickBot="1" x14ac:dyDescent="0.35">
      <c r="A29" s="9" t="s">
        <v>1</v>
      </c>
      <c r="B29" s="10" t="s">
        <v>2</v>
      </c>
      <c r="C29" s="10" t="s">
        <v>3</v>
      </c>
      <c r="D29" s="10" t="s">
        <v>4</v>
      </c>
      <c r="E29" s="10" t="s">
        <v>5</v>
      </c>
      <c r="F29" s="18" t="s">
        <v>6</v>
      </c>
      <c r="H29" t="s">
        <v>72</v>
      </c>
      <c r="I29" s="2" t="s">
        <v>73</v>
      </c>
      <c r="J29" s="13" t="str">
        <f>TRUNC(SUMIF(A29:A33,"Residential Load",F29:F33),3)&amp;"(0.6)"</f>
        <v>402.5(0.6)</v>
      </c>
      <c r="K29" s="2" t="s">
        <v>74</v>
      </c>
      <c r="L29" s="13" t="str">
        <f>TRUNC(SUMIF(A29:A33,"Commercial Load",F29:F33),3)&amp;"(0.7)"</f>
        <v>149.5(0.7)</v>
      </c>
      <c r="M29" s="2" t="s">
        <v>74</v>
      </c>
      <c r="N29" s="13" t="str">
        <f>TRUNC(SUMIF(A29:A33,"Industrial Load",F29:F33),3)&amp;"(0.65)"</f>
        <v>0(0.65)</v>
      </c>
      <c r="O29" s="2" t="str">
        <f>"="</f>
        <v>=</v>
      </c>
      <c r="P29" s="20">
        <f>((SUMIF(A29:A33,"Residential Load",F29:F33)*MID(J29,LEN(J29)-3,3))/J30)+((SUMIF(A29:A33,"Commercial Load",F29:F33)*MID(L29,LEN(L29)-3,3))/L30)+((SUMIF(A29:A33,"Industrial Load",F29:F33)*MID(N29,LEN(N29)-3,3))/N30)</f>
        <v>192.42808219178082</v>
      </c>
      <c r="Q29" s="22" t="s">
        <v>75</v>
      </c>
      <c r="R29" s="2">
        <v>0.9</v>
      </c>
      <c r="S29" s="21">
        <f>P29/R29</f>
        <v>213.8089802130898</v>
      </c>
      <c r="U29" s="12" t="s">
        <v>97</v>
      </c>
      <c r="Y29">
        <f>MID(U29,9,SEARCH("T",U29,1)-14)*1</f>
        <v>225</v>
      </c>
    </row>
    <row r="30" spans="1:25" x14ac:dyDescent="0.3">
      <c r="A30" s="6" t="s">
        <v>7</v>
      </c>
      <c r="B30" s="7">
        <v>70</v>
      </c>
      <c r="C30" s="7">
        <v>25</v>
      </c>
      <c r="D30" s="7">
        <v>1</v>
      </c>
      <c r="E30" s="7">
        <v>230</v>
      </c>
      <c r="F30" s="17">
        <f>Table1725113131[[#This Row],[NO. OF ESTABLISHMENTS]]*Table1725113131[[#This Row],[ESTIMATED AVERAGE AMPACITY]]*Table1725113131[[#This Row],[VOLTAGE]]/1000</f>
        <v>402.5</v>
      </c>
      <c r="J30" s="2">
        <v>2</v>
      </c>
      <c r="L30" s="2">
        <v>1.46</v>
      </c>
      <c r="N30" s="2">
        <v>0.86</v>
      </c>
    </row>
    <row r="31" spans="1:25" x14ac:dyDescent="0.3">
      <c r="A31" s="6" t="s">
        <v>8</v>
      </c>
      <c r="B31" s="7">
        <v>10</v>
      </c>
      <c r="C31" s="7">
        <v>65</v>
      </c>
      <c r="D31" s="7">
        <v>1</v>
      </c>
      <c r="E31" s="7">
        <v>230</v>
      </c>
      <c r="F31" s="17">
        <f>Table1725113131[[#This Row],[NO. OF ESTABLISHMENTS]]*Table1725113131[[#This Row],[ESTIMATED AVERAGE AMPACITY]]*Table1725113131[[#This Row],[VOLTAGE]]/1000</f>
        <v>149.5</v>
      </c>
    </row>
    <row r="32" spans="1:25" x14ac:dyDescent="0.3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17">
        <v>0</v>
      </c>
      <c r="H32" t="s">
        <v>79</v>
      </c>
      <c r="I32" s="2" t="str">
        <f>"="</f>
        <v>=</v>
      </c>
      <c r="J32" s="2" t="str">
        <f>IF((COUNTIF(A29:A33,"Commercial Load (Bulk)")&gt;0),TRUNC(LOOKUP("Commercial Load (Bulk)",A29:A33,F29:F33))&amp;"(0.7)",IF(COUNTIF(A29:A33,"Industrial Load (Bulk)")&gt;0,TRUNC(LOOKUP("Industrial Load (Bulk)",A29:A33,F29:F33))&amp;"(0.7)",""))</f>
        <v/>
      </c>
      <c r="P32" s="24" t="str">
        <f>IF((COUNTIF(A29:A33,"Commercial Load (Bulk)")&gt;0),(LOOKUP("Commercial Load (Bulk)",A29:A33,F29:F33)*MID(J32,LEN(J32)-3,3))/J33,IF(COUNTIF(A29:A33,"Industrial Load (Bulk)")&gt;0,(LOOKUP("Industrial Load (Bulk)",A29:A33,F29:F33)*MID(J32,LEN(J32)-3,3))/J33,""))</f>
        <v/>
      </c>
      <c r="R32" s="2"/>
      <c r="S32" s="21" t="str">
        <f>IF(ISBLANK(R32),"",P32/R32)</f>
        <v/>
      </c>
    </row>
    <row r="33" spans="1:25" x14ac:dyDescent="0.3">
      <c r="A33" s="6"/>
      <c r="B33" s="7"/>
      <c r="C33" s="7"/>
      <c r="D33" s="7"/>
      <c r="E33" s="7"/>
      <c r="F33" s="17"/>
      <c r="J33" s="23" t="str">
        <f>IF((COUNTIF(A29:A33,"Commercial Load (Bulk)")&gt;0),"0.9",IF(COUNTIF(A29:A33,"Industrial Load (Bulk)")&gt;0,"0.9",""))</f>
        <v/>
      </c>
      <c r="R33" s="2"/>
      <c r="S33" s="21"/>
    </row>
    <row r="34" spans="1:25" x14ac:dyDescent="0.3">
      <c r="A34" s="6"/>
      <c r="B34" s="7"/>
      <c r="C34" s="7"/>
      <c r="D34" s="7"/>
      <c r="E34" s="7"/>
      <c r="F34" s="17"/>
    </row>
    <row r="35" spans="1:25" x14ac:dyDescent="0.3">
      <c r="A35" s="8" t="s">
        <v>61</v>
      </c>
      <c r="B35" s="7"/>
      <c r="C35" s="7"/>
      <c r="D35" s="7"/>
      <c r="E35" s="7"/>
      <c r="F35" s="17"/>
    </row>
    <row r="36" spans="1:25" ht="15" thickBot="1" x14ac:dyDescent="0.35">
      <c r="A36" s="6"/>
      <c r="B36" s="7"/>
      <c r="C36" s="7"/>
      <c r="D36" s="7"/>
      <c r="E36" s="7"/>
      <c r="F36" s="17"/>
      <c r="R36" s="2" t="s">
        <v>76</v>
      </c>
      <c r="S36" s="25" t="s">
        <v>77</v>
      </c>
    </row>
    <row r="37" spans="1:25" ht="15" thickBot="1" x14ac:dyDescent="0.35">
      <c r="A37" s="9" t="s">
        <v>1</v>
      </c>
      <c r="B37" s="10" t="s">
        <v>2</v>
      </c>
      <c r="C37" s="10" t="s">
        <v>3</v>
      </c>
      <c r="D37" s="10" t="s">
        <v>4</v>
      </c>
      <c r="E37" s="10" t="s">
        <v>5</v>
      </c>
      <c r="F37" s="18" t="s">
        <v>6</v>
      </c>
      <c r="H37" t="s">
        <v>72</v>
      </c>
      <c r="I37" s="2" t="s">
        <v>73</v>
      </c>
      <c r="J37" s="13" t="str">
        <f>TRUNC(SUMIF(A37:A41,"Residential Load",F37:F41),3)&amp;"(0.6)"</f>
        <v>86.25(0.6)</v>
      </c>
      <c r="K37" s="2" t="s">
        <v>74</v>
      </c>
      <c r="L37" s="13" t="str">
        <f>TRUNC(SUMIF(A37:A41,"Commercial Load",F37:F41),3)&amp;"(0.7)"</f>
        <v>74.75(0.7)</v>
      </c>
      <c r="M37" s="2" t="s">
        <v>74</v>
      </c>
      <c r="N37" s="13" t="str">
        <f>TRUNC(SUMIF(A37:A41,"Industrial Load",F37:F41),3)&amp;"(0.65)"</f>
        <v>0(0.65)</v>
      </c>
      <c r="O37" s="2" t="str">
        <f>"="</f>
        <v>=</v>
      </c>
      <c r="P37" s="20">
        <f>((SUMIF(A37:A41,"Residential Load",F37:F41)*MID(J37,LEN(J37)-3,3))/J38)+((SUMIF(A37:A41,"Commercial Load",F37:F41)*MID(L37,LEN(L37)-3,3))/L38)+((SUMIF(A37:A41,"Industrial Load",F37:F41)*MID(N37,LEN(N37)-3,3))/N38)</f>
        <v>61.714041095890408</v>
      </c>
      <c r="Q37" s="22" t="s">
        <v>75</v>
      </c>
      <c r="R37" s="2">
        <v>0.9</v>
      </c>
      <c r="S37" s="21">
        <f>P37/R37</f>
        <v>68.57115677321157</v>
      </c>
      <c r="U37" s="12" t="s">
        <v>98</v>
      </c>
      <c r="Y37">
        <f>MID(U37,9,SEARCH("T",U37,1)-14)*1</f>
        <v>75</v>
      </c>
    </row>
    <row r="38" spans="1:25" x14ac:dyDescent="0.3">
      <c r="A38" s="6" t="s">
        <v>7</v>
      </c>
      <c r="B38" s="7">
        <v>25</v>
      </c>
      <c r="C38" s="7">
        <v>15</v>
      </c>
      <c r="D38" s="7">
        <v>1</v>
      </c>
      <c r="E38" s="7">
        <v>230</v>
      </c>
      <c r="F38" s="17">
        <f>Table15826114132[[#This Row],[NO. OF ESTABLISHMENTS]]*Table15826114132[[#This Row],[ESTIMATED AVERAGE AMPACITY]]*Table15826114132[[#This Row],[VOLTAGE]]/1000</f>
        <v>86.25</v>
      </c>
      <c r="J38" s="2">
        <v>2</v>
      </c>
      <c r="L38" s="2">
        <v>1.46</v>
      </c>
      <c r="N38" s="2">
        <v>0.86</v>
      </c>
    </row>
    <row r="39" spans="1:25" x14ac:dyDescent="0.3">
      <c r="A39" s="6" t="s">
        <v>8</v>
      </c>
      <c r="B39" s="7">
        <v>5</v>
      </c>
      <c r="C39" s="7">
        <v>65</v>
      </c>
      <c r="D39" s="7">
        <v>1</v>
      </c>
      <c r="E39" s="7">
        <v>230</v>
      </c>
      <c r="F39" s="17">
        <f>Table15826114132[[#This Row],[NO. OF ESTABLISHMENTS]]*Table15826114132[[#This Row],[ESTIMATED AVERAGE AMPACITY]]*Table15826114132[[#This Row],[VOLTAGE]]/1000</f>
        <v>74.75</v>
      </c>
    </row>
    <row r="40" spans="1:25" x14ac:dyDescent="0.3">
      <c r="A40" s="6" t="s">
        <v>9</v>
      </c>
      <c r="B40" s="7">
        <v>0</v>
      </c>
      <c r="C40" s="7">
        <v>0</v>
      </c>
      <c r="D40" s="7">
        <v>0</v>
      </c>
      <c r="E40" s="7">
        <v>0</v>
      </c>
      <c r="F40" s="17">
        <v>0</v>
      </c>
      <c r="H40" t="s">
        <v>79</v>
      </c>
      <c r="I40" s="2" t="str">
        <f>"="</f>
        <v>=</v>
      </c>
      <c r="J40" s="2" t="str">
        <f>IF((COUNTIF(A37:A41,"Commercial Load (Bulk)")&gt;0),TRUNC(LOOKUP("Commercial Load (Bulk)",A37:A41,F37:F41))&amp;"(0.7)",IF(COUNTIF(A37:A41,"Industrial Load (Bulk)")&gt;0,TRUNC(LOOKUP("Industrial Load (Bulk)",A37:A41,F37:F41))&amp;"(0.7)",""))</f>
        <v/>
      </c>
      <c r="P40" s="24" t="str">
        <f>IF((COUNTIF(A37:A41,"Commercial Load (Bulk)")&gt;0),(LOOKUP("Commercial Load (Bulk)",A37:A41,F37:F41)*MID(J40,LEN(J40)-3,3))/J41,IF(COUNTIF(A37:A41,"Industrial Load (Bulk)")&gt;0,(LOOKUP("Industrial Load (Bulk)",A37:A41,F37:F41)*MID(J40,LEN(J40)-3,3))/J41,""))</f>
        <v/>
      </c>
      <c r="R40" s="2"/>
      <c r="S40" s="21" t="str">
        <f>IF(ISBLANK(R40),"",P40/R40)</f>
        <v/>
      </c>
    </row>
    <row r="41" spans="1:25" x14ac:dyDescent="0.3">
      <c r="A41" s="6"/>
      <c r="B41" s="7"/>
      <c r="C41" s="7"/>
      <c r="D41" s="7"/>
      <c r="E41" s="7"/>
      <c r="F41" s="17"/>
      <c r="J41" s="23" t="str">
        <f>IF((COUNTIF(A37:A41,"Commercial Load (Bulk)")&gt;0),"0.9",IF(COUNTIF(A37:A41,"Industrial Load (Bulk)")&gt;0,"0.9",""))</f>
        <v/>
      </c>
      <c r="R41" s="2"/>
      <c r="S41" s="21"/>
    </row>
    <row r="42" spans="1:25" x14ac:dyDescent="0.3">
      <c r="A42" s="6"/>
      <c r="B42" s="7"/>
      <c r="C42" s="7"/>
      <c r="D42" s="7"/>
      <c r="E42" s="7"/>
      <c r="F42" s="17"/>
    </row>
    <row r="43" spans="1:25" x14ac:dyDescent="0.3">
      <c r="A43" s="8" t="s">
        <v>62</v>
      </c>
      <c r="B43" s="7"/>
      <c r="C43" s="7"/>
      <c r="D43" s="7"/>
      <c r="E43" s="7"/>
      <c r="F43" s="17"/>
    </row>
    <row r="44" spans="1:25" ht="15" thickBot="1" x14ac:dyDescent="0.35">
      <c r="A44" s="6"/>
      <c r="B44" s="7"/>
      <c r="C44" s="7"/>
      <c r="D44" s="7"/>
      <c r="E44" s="7"/>
      <c r="F44" s="17"/>
      <c r="R44" s="2" t="s">
        <v>76</v>
      </c>
      <c r="S44" s="25" t="s">
        <v>77</v>
      </c>
    </row>
    <row r="45" spans="1:25" ht="15" thickBot="1" x14ac:dyDescent="0.35">
      <c r="A45" s="9" t="s">
        <v>1</v>
      </c>
      <c r="B45" s="10" t="s">
        <v>2</v>
      </c>
      <c r="C45" s="10" t="s">
        <v>3</v>
      </c>
      <c r="D45" s="10" t="s">
        <v>4</v>
      </c>
      <c r="E45" s="10" t="s">
        <v>5</v>
      </c>
      <c r="F45" s="18" t="s">
        <v>6</v>
      </c>
      <c r="H45" t="s">
        <v>72</v>
      </c>
      <c r="I45" s="2" t="s">
        <v>73</v>
      </c>
      <c r="J45" s="13" t="str">
        <f>TRUNC(SUMIF(A45:A49,"Residential Load",F45:F49),3)&amp;"(0.6)"</f>
        <v>86.25(0.6)</v>
      </c>
      <c r="K45" s="2" t="s">
        <v>74</v>
      </c>
      <c r="L45" s="13" t="str">
        <f>TRUNC(SUMIF(A45:A49,"Commercial Load",F45:F49),3)&amp;"(0.7)"</f>
        <v>74.75(0.7)</v>
      </c>
      <c r="M45" s="2" t="s">
        <v>74</v>
      </c>
      <c r="N45" s="13" t="str">
        <f>TRUNC(SUMIF(A45:A49,"Industrial Load",F45:F49),3)&amp;"(0.65)"</f>
        <v>0(0.65)</v>
      </c>
      <c r="O45" s="2" t="str">
        <f>"="</f>
        <v>=</v>
      </c>
      <c r="P45" s="20">
        <f>((SUMIF(A45:A49,"Residential Load",F45:F49)*MID(J45,LEN(J45)-3,3))/J46)+((SUMIF(A45:A49,"Commercial Load",F45:F49)*MID(L45,LEN(L45)-3,3))/L46)+((SUMIF(A45:A49,"Industrial Load",F45:F49)*MID(N45,LEN(N45)-3,3))/N46)</f>
        <v>61.714041095890408</v>
      </c>
      <c r="Q45" s="22" t="s">
        <v>75</v>
      </c>
      <c r="R45" s="2">
        <v>0.9</v>
      </c>
      <c r="S45" s="21">
        <f>P45/R45</f>
        <v>68.57115677321157</v>
      </c>
      <c r="U45" s="12" t="s">
        <v>98</v>
      </c>
      <c r="Y45">
        <f>MID(U45,9,SEARCH("T",U45,1)-14)*1</f>
        <v>75</v>
      </c>
    </row>
    <row r="46" spans="1:25" x14ac:dyDescent="0.3">
      <c r="A46" s="6" t="s">
        <v>7</v>
      </c>
      <c r="B46" s="7">
        <v>25</v>
      </c>
      <c r="C46" s="7">
        <v>15</v>
      </c>
      <c r="D46" s="7">
        <v>1</v>
      </c>
      <c r="E46" s="7">
        <v>230</v>
      </c>
      <c r="F46" s="17">
        <f>Table16927115133[[#This Row],[NO. OF ESTABLISHMENTS]]*Table16927115133[[#This Row],[ESTIMATED AVERAGE AMPACITY]]*Table16927115133[[#This Row],[VOLTAGE]]/1000</f>
        <v>86.25</v>
      </c>
      <c r="J46" s="2">
        <v>2</v>
      </c>
      <c r="L46" s="2">
        <v>1.46</v>
      </c>
      <c r="N46" s="2">
        <v>0.86</v>
      </c>
    </row>
    <row r="47" spans="1:25" x14ac:dyDescent="0.3">
      <c r="A47" s="6" t="s">
        <v>8</v>
      </c>
      <c r="B47" s="7">
        <v>5</v>
      </c>
      <c r="C47" s="7">
        <v>65</v>
      </c>
      <c r="D47" s="7">
        <v>1</v>
      </c>
      <c r="E47" s="7">
        <v>230</v>
      </c>
      <c r="F47" s="17">
        <f>Table16927115133[[#This Row],[NO. OF ESTABLISHMENTS]]*Table16927115133[[#This Row],[ESTIMATED AVERAGE AMPACITY]]*Table16927115133[[#This Row],[VOLTAGE]]/1000</f>
        <v>74.75</v>
      </c>
    </row>
    <row r="48" spans="1:25" x14ac:dyDescent="0.3">
      <c r="A48" s="6" t="s">
        <v>9</v>
      </c>
      <c r="B48" s="7">
        <v>0</v>
      </c>
      <c r="C48" s="7">
        <v>0</v>
      </c>
      <c r="D48" s="7">
        <v>0</v>
      </c>
      <c r="E48" s="7">
        <v>0</v>
      </c>
      <c r="F48" s="17">
        <v>0</v>
      </c>
      <c r="H48" t="s">
        <v>79</v>
      </c>
      <c r="I48" s="2" t="str">
        <f>"="</f>
        <v>=</v>
      </c>
      <c r="J48" s="2" t="str">
        <f>IF((COUNTIF(A45:A49,"Commercial Load (Bulk)")&gt;0),TRUNC(LOOKUP("Commercial Load (Bulk)",A45:A49,F45:F49))&amp;"(0.7)",IF(COUNTIF(A45:A49,"Industrial Load (Bulk)")&gt;0,TRUNC(LOOKUP("Industrial Load (Bulk)",A45:A49,F45:F49))&amp;"(0.7)",""))</f>
        <v/>
      </c>
      <c r="P48" s="24" t="str">
        <f>IF((COUNTIF(A45:A49,"Commercial Load (Bulk)")&gt;0),(LOOKUP("Commercial Load (Bulk)",A45:A49,F45:F49)*MID(J48,LEN(J48)-3,3))/J49,IF(COUNTIF(A45:A49,"Industrial Load (Bulk)")&gt;0,(LOOKUP("Industrial Load (Bulk)",A45:A49,F45:F49)*MID(J48,LEN(J48)-3,3))/J49,""))</f>
        <v/>
      </c>
      <c r="R48" s="2"/>
      <c r="S48" s="21" t="str">
        <f>IF(ISBLANK(R48),"",P48/R48)</f>
        <v/>
      </c>
    </row>
    <row r="49" spans="1:25" x14ac:dyDescent="0.3">
      <c r="A49" s="6"/>
      <c r="B49" s="7"/>
      <c r="C49" s="7"/>
      <c r="D49" s="7"/>
      <c r="E49" s="7"/>
      <c r="F49" s="17"/>
      <c r="J49" s="23" t="str">
        <f>IF((COUNTIF(A45:A49,"Commercial Load (Bulk)")&gt;0),"0.9",IF(COUNTIF(A45:A49,"Industrial Load (Bulk)")&gt;0,"0.9",""))</f>
        <v/>
      </c>
      <c r="R49" s="2"/>
      <c r="S49" s="21"/>
    </row>
    <row r="50" spans="1:25" x14ac:dyDescent="0.3">
      <c r="A50" s="6"/>
      <c r="B50" s="7"/>
      <c r="C50" s="7"/>
      <c r="D50" s="7"/>
      <c r="E50" s="7"/>
      <c r="F50" s="17"/>
    </row>
    <row r="51" spans="1:25" x14ac:dyDescent="0.3">
      <c r="A51" s="8" t="s">
        <v>63</v>
      </c>
      <c r="B51" s="7"/>
      <c r="C51" s="7"/>
      <c r="D51" s="7"/>
      <c r="E51" s="7"/>
      <c r="F51" s="17"/>
    </row>
    <row r="52" spans="1:25" ht="15" thickBot="1" x14ac:dyDescent="0.35">
      <c r="A52" s="6"/>
      <c r="B52" s="7"/>
      <c r="C52" s="7"/>
      <c r="D52" s="7"/>
      <c r="E52" s="7"/>
      <c r="F52" s="17"/>
      <c r="R52" s="2" t="s">
        <v>76</v>
      </c>
      <c r="S52" s="25" t="s">
        <v>77</v>
      </c>
    </row>
    <row r="53" spans="1:25" ht="15" thickBot="1" x14ac:dyDescent="0.35">
      <c r="A53" s="9" t="s">
        <v>1</v>
      </c>
      <c r="B53" s="10" t="s">
        <v>2</v>
      </c>
      <c r="C53" s="10" t="s">
        <v>3</v>
      </c>
      <c r="D53" s="10" t="s">
        <v>4</v>
      </c>
      <c r="E53" s="10" t="s">
        <v>5</v>
      </c>
      <c r="F53" s="18" t="s">
        <v>6</v>
      </c>
      <c r="H53" t="s">
        <v>72</v>
      </c>
      <c r="I53" s="2" t="s">
        <v>73</v>
      </c>
      <c r="J53" s="13" t="str">
        <f>TRUNC(SUMIF(A53:A57,"Residential Load",F53:F57),3)&amp;"(0.6)"</f>
        <v>805(0.6)</v>
      </c>
      <c r="K53" s="2" t="s">
        <v>74</v>
      </c>
      <c r="L53" s="13" t="str">
        <f>TRUNC(SUMIF(A53:A57,"Commercial Load",F53:F57),3)&amp;"(0.7)"</f>
        <v>586.5(0.7)</v>
      </c>
      <c r="M53" s="2" t="s">
        <v>74</v>
      </c>
      <c r="N53" s="13" t="str">
        <f>TRUNC(SUMIF(A53:A57,"Industrial Load",F53:F57),3)&amp;"(0.65)"</f>
        <v>0(0.65)</v>
      </c>
      <c r="O53" s="2" t="str">
        <f>"="</f>
        <v>=</v>
      </c>
      <c r="P53" s="20">
        <f>((SUMIF(A53:A57,"Residential Load",F53:F57)*MID(J53,LEN(J53)-3,3))/J54)+((SUMIF(A53:A57,"Commercial Load",F53:F57)*MID(L53,LEN(L53)-3,3))/L54)+((SUMIF(A53:A57,"Industrial Load",F53:F57)*MID(N53,LEN(N53)-3,3))/N54)</f>
        <v>522.69863013698625</v>
      </c>
      <c r="Q53" s="22" t="s">
        <v>75</v>
      </c>
      <c r="R53" s="2">
        <v>0.9</v>
      </c>
      <c r="S53" s="21">
        <f>P53/R53</f>
        <v>580.77625570776252</v>
      </c>
      <c r="U53" s="12" t="s">
        <v>95</v>
      </c>
      <c r="Y53">
        <f>MID(U53,9,SEARCH("T",U53,1)-14)*1</f>
        <v>600</v>
      </c>
    </row>
    <row r="54" spans="1:25" x14ac:dyDescent="0.3">
      <c r="A54" s="6" t="s">
        <v>7</v>
      </c>
      <c r="B54" s="7">
        <v>100</v>
      </c>
      <c r="C54" s="7">
        <v>35</v>
      </c>
      <c r="D54" s="7">
        <v>1</v>
      </c>
      <c r="E54" s="7">
        <v>230</v>
      </c>
      <c r="F54" s="17">
        <f>Table11028116134[[#This Row],[NO. OF ESTABLISHMENTS]]*Table11028116134[[#This Row],[ESTIMATED AVERAGE AMPACITY]]*Table11028116134[[#This Row],[VOLTAGE]]/1000</f>
        <v>805</v>
      </c>
      <c r="J54" s="2">
        <v>2</v>
      </c>
      <c r="L54" s="2">
        <v>1.46</v>
      </c>
      <c r="N54" s="2">
        <v>0.86</v>
      </c>
    </row>
    <row r="55" spans="1:25" x14ac:dyDescent="0.3">
      <c r="A55" s="6" t="s">
        <v>8</v>
      </c>
      <c r="B55" s="7">
        <v>30</v>
      </c>
      <c r="C55" s="7">
        <v>85</v>
      </c>
      <c r="D55" s="7">
        <v>1</v>
      </c>
      <c r="E55" s="7">
        <v>230</v>
      </c>
      <c r="F55" s="17">
        <f>Table11028116134[[#This Row],[NO. OF ESTABLISHMENTS]]*Table11028116134[[#This Row],[ESTIMATED AVERAGE AMPACITY]]*Table11028116134[[#This Row],[VOLTAGE]]/1000</f>
        <v>586.5</v>
      </c>
    </row>
    <row r="56" spans="1:25" x14ac:dyDescent="0.3">
      <c r="A56" s="6" t="s">
        <v>78</v>
      </c>
      <c r="B56" s="7">
        <v>1</v>
      </c>
      <c r="C56" s="7">
        <v>4000</v>
      </c>
      <c r="D56" s="7">
        <v>3</v>
      </c>
      <c r="E56" s="7">
        <v>400</v>
      </c>
      <c r="F56" s="17">
        <f>SQRT(3)*Table11028116134[[#This Row],[NO. OF ESTABLISHMENTS]]*Table11028116134[[#This Row],[ESTIMATED AVERAGE AMPACITY]]*Table11028116134[[#This Row],[VOLTAGE]]/1000</f>
        <v>2771.2812921102031</v>
      </c>
      <c r="H56" t="s">
        <v>79</v>
      </c>
      <c r="I56" s="2" t="str">
        <f>"="</f>
        <v>=</v>
      </c>
      <c r="J56" s="2" t="str">
        <f>IF((COUNTIF(A53:A57,"Commercial Load (Bulk)")&gt;0),TRUNC(LOOKUP("Commercial Load (Bulk)",A53:A57,F53:F57))&amp;"(0.7)",IF(COUNTIF(A53:A57,"Industrial Load (Bulk)")&gt;0,TRUNC(LOOKUP("Industrial Load (Bulk)",A53:A57,F53:F57))&amp;"(0.7)",""))</f>
        <v>2771(0.7)</v>
      </c>
      <c r="P56" s="24">
        <f>IF((COUNTIF(A53:A57,"Commercial Load (Bulk)")&gt;0),(LOOKUP("Commercial Load (Bulk)",A53:A57,F53:F57)*MID(J56,LEN(J56)-3,3))/J57,IF(COUNTIF(A53:A57,"Industrial Load (Bulk)")&gt;0,(LOOKUP("Industrial Load (Bulk)",A53:A57,F53:F57)*MID(J56,LEN(J56)-3,3))/J57,""))</f>
        <v>2155.441004974602</v>
      </c>
      <c r="Q56" s="12" t="s">
        <v>77</v>
      </c>
      <c r="R56" s="2"/>
      <c r="S56" s="21" t="str">
        <f>IF(ISBLANK(R56),"",P56/R56)</f>
        <v/>
      </c>
      <c r="U56" s="12" t="s">
        <v>93</v>
      </c>
      <c r="Y56">
        <f>MID(U56,9,SEARCH("T",U56,1)-14)*1</f>
        <v>2500</v>
      </c>
    </row>
    <row r="57" spans="1:25" x14ac:dyDescent="0.3">
      <c r="A57" s="6" t="s">
        <v>9</v>
      </c>
      <c r="B57" s="7">
        <v>0</v>
      </c>
      <c r="C57" s="7">
        <v>0</v>
      </c>
      <c r="D57" s="7">
        <v>0</v>
      </c>
      <c r="E57" s="7">
        <v>0</v>
      </c>
      <c r="F57" s="17">
        <v>0</v>
      </c>
      <c r="J57" s="23" t="str">
        <f>IF((COUNTIF(A53:A57,"Commercial Load (Bulk)")&gt;0),"0.9",IF(COUNTIF(A53:A57,"Industrial Load (Bulk)")&gt;0,"0.9",""))</f>
        <v>0.9</v>
      </c>
      <c r="R57" s="2"/>
      <c r="S57" s="21"/>
    </row>
    <row r="58" spans="1:25" x14ac:dyDescent="0.3">
      <c r="A58" s="6"/>
      <c r="B58" s="7"/>
      <c r="C58" s="7"/>
      <c r="D58" s="7"/>
      <c r="E58" s="7"/>
      <c r="F58" s="17"/>
    </row>
    <row r="59" spans="1:25" x14ac:dyDescent="0.3">
      <c r="A59" s="6"/>
      <c r="B59" s="7"/>
      <c r="C59" s="7"/>
      <c r="D59" s="7"/>
      <c r="E59" s="7"/>
      <c r="F59" s="17"/>
    </row>
    <row r="60" spans="1:25" x14ac:dyDescent="0.3">
      <c r="A60" s="8" t="s">
        <v>64</v>
      </c>
      <c r="B60" s="7"/>
      <c r="C60" s="7"/>
      <c r="D60" s="7"/>
      <c r="E60" s="7"/>
      <c r="F60" s="17"/>
    </row>
    <row r="61" spans="1:25" ht="15" thickBot="1" x14ac:dyDescent="0.35">
      <c r="A61" s="6"/>
      <c r="B61" s="7"/>
      <c r="C61" s="7"/>
      <c r="D61" s="7"/>
      <c r="E61" s="7"/>
      <c r="F61" s="17"/>
      <c r="R61" s="2" t="s">
        <v>76</v>
      </c>
      <c r="S61" s="25" t="s">
        <v>77</v>
      </c>
    </row>
    <row r="62" spans="1:25" ht="15" thickBot="1" x14ac:dyDescent="0.35">
      <c r="A62" s="9" t="s">
        <v>1</v>
      </c>
      <c r="B62" s="10" t="s">
        <v>2</v>
      </c>
      <c r="C62" s="10" t="s">
        <v>3</v>
      </c>
      <c r="D62" s="10" t="s">
        <v>4</v>
      </c>
      <c r="E62" s="10" t="s">
        <v>5</v>
      </c>
      <c r="F62" s="18" t="s">
        <v>6</v>
      </c>
      <c r="H62" t="s">
        <v>72</v>
      </c>
      <c r="I62" s="2" t="s">
        <v>73</v>
      </c>
      <c r="J62" s="13" t="str">
        <f>TRUNC(SUMIF(A61:A65,"Residential Load",F61:F65),3)&amp;"(0.6)"</f>
        <v>966(0.6)</v>
      </c>
      <c r="K62" s="2" t="s">
        <v>74</v>
      </c>
      <c r="L62" s="13" t="str">
        <f>TRUNC(SUMIF(A61:A65,"Commercial Load",F61:F65),3)&amp;"(0.7)"</f>
        <v>345(0.7)</v>
      </c>
      <c r="M62" s="2" t="s">
        <v>74</v>
      </c>
      <c r="N62" s="13" t="str">
        <f>TRUNC(SUMIF(A61:A65,"Industrial Load",F61:F65),3)&amp;"(0.65)"</f>
        <v>0(0.65)</v>
      </c>
      <c r="O62" s="2" t="str">
        <f>"="</f>
        <v>=</v>
      </c>
      <c r="P62" s="20">
        <f>((SUMIF(A61:A65,"Residential Load",F61:F65)*MID(J62,LEN(J62)-3,3))/J63)+((SUMIF(A61:A65,"Commercial Load",F61:F65)*MID(L62,LEN(L62)-3,3))/L63)+((SUMIF(A61:A65,"Industrial Load",F61:F65)*MID(N62,LEN(N62)-3,3))/N63)</f>
        <v>455.21095890410959</v>
      </c>
      <c r="Q62" s="22" t="s">
        <v>75</v>
      </c>
      <c r="R62" s="2">
        <v>0.9</v>
      </c>
      <c r="S62" s="21">
        <f>P62/R62</f>
        <v>505.78995433789953</v>
      </c>
      <c r="U62" s="12" t="s">
        <v>95</v>
      </c>
      <c r="Y62">
        <f>MID(U62,9,SEARCH("T",U62,1)-14)*1</f>
        <v>600</v>
      </c>
    </row>
    <row r="63" spans="1:25" x14ac:dyDescent="0.3">
      <c r="A63" s="6" t="s">
        <v>7</v>
      </c>
      <c r="B63" s="7">
        <v>120</v>
      </c>
      <c r="C63" s="7">
        <v>35</v>
      </c>
      <c r="D63" s="7">
        <v>1</v>
      </c>
      <c r="E63" s="7">
        <v>230</v>
      </c>
      <c r="F63" s="17">
        <f>Table151129117135[[#This Row],[NO. OF ESTABLISHMENTS]]*Table151129117135[[#This Row],[ESTIMATED AVERAGE AMPACITY]]*Table151129117135[[#This Row],[VOLTAGE]]/1000</f>
        <v>966</v>
      </c>
      <c r="J63" s="2">
        <v>2</v>
      </c>
      <c r="L63" s="2">
        <v>1.46</v>
      </c>
      <c r="N63" s="2">
        <v>0.86</v>
      </c>
    </row>
    <row r="64" spans="1:25" x14ac:dyDescent="0.3">
      <c r="A64" s="6" t="s">
        <v>8</v>
      </c>
      <c r="B64" s="7">
        <v>20</v>
      </c>
      <c r="C64" s="7">
        <v>75</v>
      </c>
      <c r="D64" s="7">
        <v>1</v>
      </c>
      <c r="E64" s="7">
        <v>230</v>
      </c>
      <c r="F64" s="17">
        <f>Table151129117135[[#This Row],[NO. OF ESTABLISHMENTS]]*Table151129117135[[#This Row],[ESTIMATED AVERAGE AMPACITY]]*Table151129117135[[#This Row],[VOLTAGE]]/1000</f>
        <v>345</v>
      </c>
    </row>
    <row r="65" spans="1:25" x14ac:dyDescent="0.3">
      <c r="A65" s="6" t="s">
        <v>9</v>
      </c>
      <c r="B65" s="7">
        <v>0</v>
      </c>
      <c r="C65" s="7">
        <v>0</v>
      </c>
      <c r="D65" s="7">
        <v>0</v>
      </c>
      <c r="E65" s="7">
        <v>0</v>
      </c>
      <c r="F65" s="17">
        <v>0</v>
      </c>
      <c r="H65" t="s">
        <v>79</v>
      </c>
      <c r="I65" s="2" t="str">
        <f>"="</f>
        <v>=</v>
      </c>
      <c r="J65" s="2" t="str">
        <f>IF((COUNTIF(A62:A66,"Commercial Load (Bulk)")&gt;0),TRUNC(LOOKUP("Commercial Load (Bulk)",A62:A66,F62:F66))&amp;"(0.7)",IF(COUNTIF(A62:A66,"Industrial Load (Bulk)")&gt;0,TRUNC(LOOKUP("Industrial Load (Bulk)",A62:A66,F62:F66))&amp;"(0.7)",""))</f>
        <v/>
      </c>
      <c r="P65" s="24" t="str">
        <f>IF((COUNTIF(A62:A66,"Commercial Load (Bulk)")&gt;0),(LOOKUP("Commercial Load (Bulk)",A62:A66,F62:F66)*MID(J65,LEN(J65)-3,3))/J66,IF(COUNTIF(A62:A66,"Industrial Load (Bulk)")&gt;0,(LOOKUP("Industrial Load (Bulk)",A62:A66,F62:F66)*MID(J65,LEN(J65)-3,3))/J66,""))</f>
        <v/>
      </c>
      <c r="R65" s="2"/>
      <c r="S65" s="21" t="str">
        <f>IF(ISBLANK(R65),"",P65/R65)</f>
        <v/>
      </c>
    </row>
    <row r="66" spans="1:25" x14ac:dyDescent="0.3">
      <c r="A66" s="6"/>
      <c r="B66" s="7"/>
      <c r="C66" s="7"/>
      <c r="D66" s="7"/>
      <c r="E66" s="7"/>
      <c r="F66" s="17"/>
      <c r="J66" s="23" t="str">
        <f>IF((COUNTIF(A62:A66,"Commercial Load (Bulk)")&gt;0),"0.9",IF(COUNTIF(A62:A66,"Industrial Load (Bulk)")&gt;0,"0.9",""))</f>
        <v/>
      </c>
      <c r="R66" s="2"/>
      <c r="S66" s="21"/>
    </row>
    <row r="67" spans="1:25" x14ac:dyDescent="0.3">
      <c r="A67" s="6"/>
      <c r="B67" s="7"/>
      <c r="C67" s="7"/>
      <c r="D67" s="7"/>
      <c r="E67" s="7"/>
      <c r="F67" s="17"/>
    </row>
    <row r="68" spans="1:25" x14ac:dyDescent="0.3">
      <c r="A68" s="8" t="s">
        <v>65</v>
      </c>
      <c r="B68" s="7"/>
      <c r="C68" s="7"/>
      <c r="D68" s="7"/>
      <c r="E68" s="7"/>
      <c r="F68" s="17"/>
    </row>
    <row r="69" spans="1:25" ht="15" thickBot="1" x14ac:dyDescent="0.35">
      <c r="A69" s="6"/>
      <c r="B69" s="7"/>
      <c r="C69" s="7"/>
      <c r="D69" s="7"/>
      <c r="E69" s="7"/>
      <c r="F69" s="17"/>
      <c r="R69" s="2" t="s">
        <v>76</v>
      </c>
      <c r="S69" s="25" t="s">
        <v>77</v>
      </c>
    </row>
    <row r="70" spans="1:25" ht="15" thickBot="1" x14ac:dyDescent="0.35">
      <c r="A70" s="9" t="s">
        <v>1</v>
      </c>
      <c r="B70" s="10" t="s">
        <v>2</v>
      </c>
      <c r="C70" s="10" t="s">
        <v>3</v>
      </c>
      <c r="D70" s="10" t="s">
        <v>4</v>
      </c>
      <c r="E70" s="10" t="s">
        <v>5</v>
      </c>
      <c r="F70" s="18" t="s">
        <v>6</v>
      </c>
      <c r="H70" t="s">
        <v>72</v>
      </c>
      <c r="I70" s="2" t="s">
        <v>73</v>
      </c>
      <c r="J70" s="13" t="str">
        <f>TRUNC(SUMIF(A70:A74,"Residential Load",F70:F74),3)&amp;"(0.6)"</f>
        <v>897(0.6)</v>
      </c>
      <c r="K70" s="2" t="s">
        <v>74</v>
      </c>
      <c r="L70" s="13" t="str">
        <f>TRUNC(SUMIF(A70:A74,"Commercial Load",F70:F74),3)&amp;"(0.7)"</f>
        <v>431.25(0.7)</v>
      </c>
      <c r="M70" s="2" t="s">
        <v>74</v>
      </c>
      <c r="N70" s="13" t="str">
        <f>TRUNC(SUMIF(A70:A74,"Industrial Load",F70:F74),3)&amp;"(0.65)"</f>
        <v>0(0.65)</v>
      </c>
      <c r="O70" s="2" t="str">
        <f>"="</f>
        <v>=</v>
      </c>
      <c r="P70" s="20">
        <f>((SUMIF(A70:A74,"Residential Load",F70:F74)*MID(J70,LEN(J70)-3,3))/J71)+((SUMIF(A70:A74,"Commercial Load",F70:F74)*MID(L70,LEN(L70)-3,3))/L71)+((SUMIF(A70:A74,"Industrial Load",F70:F74)*MID(N70,LEN(N70)-3,3))/N71)</f>
        <v>475.86369863013692</v>
      </c>
      <c r="Q70" s="22" t="s">
        <v>75</v>
      </c>
      <c r="R70" s="2">
        <v>0.9</v>
      </c>
      <c r="S70" s="21">
        <f>P70/R70</f>
        <v>528.73744292237438</v>
      </c>
      <c r="U70" s="12" t="s">
        <v>95</v>
      </c>
      <c r="Y70">
        <f>MID(U70,9,SEARCH("T",U70,1)-14)*1</f>
        <v>600</v>
      </c>
    </row>
    <row r="71" spans="1:25" x14ac:dyDescent="0.3">
      <c r="A71" s="6" t="s">
        <v>7</v>
      </c>
      <c r="B71" s="7">
        <v>130</v>
      </c>
      <c r="C71" s="7">
        <v>30</v>
      </c>
      <c r="D71" s="7">
        <v>1</v>
      </c>
      <c r="E71" s="7">
        <v>230</v>
      </c>
      <c r="F71" s="17">
        <f>Table161230118136[[#This Row],[NO. OF ESTABLISHMENTS]]*Table161230118136[[#This Row],[ESTIMATED AVERAGE AMPACITY]]*Table161230118136[[#This Row],[VOLTAGE]]/1000</f>
        <v>897</v>
      </c>
      <c r="J71" s="2">
        <v>2</v>
      </c>
      <c r="L71" s="2">
        <v>1.46</v>
      </c>
      <c r="N71" s="2">
        <v>0.86</v>
      </c>
    </row>
    <row r="72" spans="1:25" x14ac:dyDescent="0.3">
      <c r="A72" s="6" t="s">
        <v>8</v>
      </c>
      <c r="B72" s="7">
        <v>25</v>
      </c>
      <c r="C72" s="7">
        <v>75</v>
      </c>
      <c r="D72" s="7">
        <v>1</v>
      </c>
      <c r="E72" s="7">
        <v>230</v>
      </c>
      <c r="F72" s="17">
        <f>Table161230118136[[#This Row],[NO. OF ESTABLISHMENTS]]*Table161230118136[[#This Row],[ESTIMATED AVERAGE AMPACITY]]*Table161230118136[[#This Row],[VOLTAGE]]/1000</f>
        <v>431.25</v>
      </c>
    </row>
    <row r="73" spans="1:25" x14ac:dyDescent="0.3">
      <c r="A73" s="6" t="s">
        <v>9</v>
      </c>
      <c r="B73" s="7">
        <v>0</v>
      </c>
      <c r="C73" s="7">
        <v>0</v>
      </c>
      <c r="D73" s="7">
        <v>0</v>
      </c>
      <c r="E73" s="7">
        <v>0</v>
      </c>
      <c r="F73" s="17">
        <v>0</v>
      </c>
      <c r="H73" t="s">
        <v>79</v>
      </c>
      <c r="I73" s="2" t="str">
        <f>"="</f>
        <v>=</v>
      </c>
      <c r="J73" s="2" t="str">
        <f>IF((COUNTIF(A70:A74,"Commercial Load (Bulk)")&gt;0),TRUNC(LOOKUP("Commercial Load (Bulk)",A70:A74,F70:F74))&amp;"(0.7)",IF(COUNTIF(A70:A74,"Industrial Load (Bulk)")&gt;0,TRUNC(LOOKUP("Industrial Load (Bulk)",A70:A74,F70:F74))&amp;"(0.7)",""))</f>
        <v/>
      </c>
      <c r="P73" s="24" t="str">
        <f>IF((COUNTIF(A70:A74,"Commercial Load (Bulk)")&gt;0),(LOOKUP("Commercial Load (Bulk)",A70:A74,F70:F74)*MID(J73,LEN(J73)-3,3))/J74,IF(COUNTIF(A70:A74,"Industrial Load (Bulk)")&gt;0,(LOOKUP("Industrial Load (Bulk)",A70:A74,F70:F74)*MID(J73,LEN(J73)-3,3))/J74,""))</f>
        <v/>
      </c>
      <c r="R73" s="2"/>
      <c r="S73" s="21" t="str">
        <f>IF(ISBLANK(R73),"",P73/R73)</f>
        <v/>
      </c>
    </row>
    <row r="74" spans="1:25" x14ac:dyDescent="0.3">
      <c r="A74" s="6"/>
      <c r="B74" s="7"/>
      <c r="C74" s="7"/>
      <c r="D74" s="7"/>
      <c r="E74" s="7"/>
      <c r="F74" s="17"/>
      <c r="J74" s="23" t="str">
        <f>IF((COUNTIF(A70:A74,"Commercial Load (Bulk)")&gt;0),"0.9",IF(COUNTIF(A70:A74,"Industrial Load (Bulk)")&gt;0,"0.9",""))</f>
        <v/>
      </c>
      <c r="R74" s="2"/>
      <c r="S74" s="21"/>
    </row>
    <row r="75" spans="1:25" x14ac:dyDescent="0.3">
      <c r="A75" s="6"/>
      <c r="B75" s="7"/>
      <c r="C75" s="7"/>
      <c r="D75" s="7"/>
      <c r="E75" s="7"/>
      <c r="F75" s="17"/>
    </row>
    <row r="76" spans="1:25" x14ac:dyDescent="0.3">
      <c r="A76" s="8" t="s">
        <v>66</v>
      </c>
      <c r="B76" s="7"/>
      <c r="C76" s="7"/>
      <c r="D76" s="7"/>
      <c r="E76" s="7"/>
      <c r="F76" s="17"/>
    </row>
    <row r="77" spans="1:25" ht="15" thickBot="1" x14ac:dyDescent="0.35">
      <c r="A77" s="6"/>
      <c r="B77" s="7"/>
      <c r="C77" s="7"/>
      <c r="D77" s="7"/>
      <c r="E77" s="7"/>
      <c r="F77" s="17"/>
      <c r="R77" s="2" t="s">
        <v>76</v>
      </c>
      <c r="S77" s="25" t="s">
        <v>77</v>
      </c>
    </row>
    <row r="78" spans="1:25" ht="15" thickBot="1" x14ac:dyDescent="0.35">
      <c r="A78" s="9" t="s">
        <v>1</v>
      </c>
      <c r="B78" s="10" t="s">
        <v>2</v>
      </c>
      <c r="C78" s="10" t="s">
        <v>3</v>
      </c>
      <c r="D78" s="10" t="s">
        <v>4</v>
      </c>
      <c r="E78" s="10" t="s">
        <v>5</v>
      </c>
      <c r="F78" s="18" t="s">
        <v>6</v>
      </c>
      <c r="H78" t="s">
        <v>72</v>
      </c>
      <c r="I78" s="2" t="s">
        <v>73</v>
      </c>
      <c r="J78" s="13" t="str">
        <f>TRUNC(SUMIF(A78:A82,"Residential Load",F78:F82),3)&amp;"(0.6)"</f>
        <v>172.5(0.6)</v>
      </c>
      <c r="K78" s="2" t="s">
        <v>74</v>
      </c>
      <c r="L78" s="13" t="str">
        <f>TRUNC(SUMIF(A78:A82,"Commercial Load",F78:F82),3)&amp;"(0.7)"</f>
        <v>149.5(0.7)</v>
      </c>
      <c r="M78" s="2" t="s">
        <v>74</v>
      </c>
      <c r="N78" s="13" t="str">
        <f>TRUNC(SUMIF(A78:A82,"Industrial Load",F78:F82),3)&amp;"(0.65)"</f>
        <v>0(0.65)</v>
      </c>
      <c r="O78" s="2" t="str">
        <f>"="</f>
        <v>=</v>
      </c>
      <c r="P78" s="20">
        <f>((SUMIF(A78:A82,"Residential Load",F78:F82)*MID(J78,LEN(J78)-3,3))/J79)+((SUMIF(A78:A82,"Commercial Load",F78:F82)*MID(L78,LEN(L78)-3,3))/L79)+((SUMIF(A78:A82,"Industrial Load",F78:F82)*MID(N78,LEN(N78)-3,3))/N79)</f>
        <v>123.42808219178082</v>
      </c>
      <c r="Q78" s="22" t="s">
        <v>75</v>
      </c>
      <c r="R78" s="2">
        <v>0.9</v>
      </c>
      <c r="S78" s="21">
        <f>P78/R78</f>
        <v>137.14231354642314</v>
      </c>
      <c r="U78" s="12" t="s">
        <v>94</v>
      </c>
      <c r="Y78">
        <f>MID(U78,9,SEARCH("T",U78,1)-14)*1</f>
        <v>150</v>
      </c>
    </row>
    <row r="79" spans="1:25" x14ac:dyDescent="0.3">
      <c r="A79" s="6" t="s">
        <v>7</v>
      </c>
      <c r="B79" s="7">
        <v>50</v>
      </c>
      <c r="C79" s="7">
        <v>15</v>
      </c>
      <c r="D79" s="7">
        <v>1</v>
      </c>
      <c r="E79" s="7">
        <v>230</v>
      </c>
      <c r="F79" s="17">
        <f>Table171331119137[[#This Row],[NO. OF ESTABLISHMENTS]]*Table171331119137[[#This Row],[ESTIMATED AVERAGE AMPACITY]]*Table171331119137[[#This Row],[VOLTAGE]]/1000</f>
        <v>172.5</v>
      </c>
      <c r="J79" s="2">
        <v>2</v>
      </c>
      <c r="L79" s="2">
        <v>1.46</v>
      </c>
      <c r="N79" s="2">
        <v>0.86</v>
      </c>
    </row>
    <row r="80" spans="1:25" x14ac:dyDescent="0.3">
      <c r="A80" s="6" t="s">
        <v>8</v>
      </c>
      <c r="B80" s="7">
        <v>10</v>
      </c>
      <c r="C80" s="7">
        <v>65</v>
      </c>
      <c r="D80" s="7">
        <v>1</v>
      </c>
      <c r="E80" s="7">
        <v>230</v>
      </c>
      <c r="F80" s="17">
        <f>Table171331119137[[#This Row],[NO. OF ESTABLISHMENTS]]*Table171331119137[[#This Row],[ESTIMATED AVERAGE AMPACITY]]*Table171331119137[[#This Row],[VOLTAGE]]/1000</f>
        <v>149.5</v>
      </c>
    </row>
    <row r="81" spans="1:25" x14ac:dyDescent="0.3">
      <c r="A81" s="6" t="s">
        <v>9</v>
      </c>
      <c r="B81" s="7">
        <v>0</v>
      </c>
      <c r="C81" s="7">
        <v>0</v>
      </c>
      <c r="D81" s="7">
        <v>0</v>
      </c>
      <c r="E81" s="7">
        <v>0</v>
      </c>
      <c r="F81" s="17">
        <v>0</v>
      </c>
      <c r="H81" t="s">
        <v>79</v>
      </c>
      <c r="I81" s="2" t="str">
        <f>"="</f>
        <v>=</v>
      </c>
      <c r="J81" s="2" t="str">
        <f>IF((COUNTIF(A78:A82,"Commercial Load (Bulk)")&gt;0),TRUNC(LOOKUP("Commercial Load (Bulk)",A78:A82,F78:F82))&amp;"(0.7)",IF(COUNTIF(A78:A82,"Industrial Load (Bulk)")&gt;0,TRUNC(LOOKUP("Industrial Load (Bulk)",A78:A82,F78:F82))&amp;"(0.7)",""))</f>
        <v/>
      </c>
      <c r="P81" s="24" t="str">
        <f>IF((COUNTIF(A78:A82,"Commercial Load (Bulk)")&gt;0),(LOOKUP("Commercial Load (Bulk)",A78:A82,F78:F82)*MID(J81,LEN(J81)-3,3))/J82,IF(COUNTIF(A78:A82,"Industrial Load (Bulk)")&gt;0,(LOOKUP("Industrial Load (Bulk)",A78:A82,F78:F82)*MID(J81,LEN(J81)-3,3))/J82,""))</f>
        <v/>
      </c>
      <c r="R81" s="2"/>
      <c r="S81" s="21" t="str">
        <f>IF(ISBLANK(R81),"",P81/R81)</f>
        <v/>
      </c>
    </row>
    <row r="82" spans="1:25" x14ac:dyDescent="0.3">
      <c r="A82" s="6"/>
      <c r="B82" s="7"/>
      <c r="C82" s="7"/>
      <c r="D82" s="7"/>
      <c r="E82" s="7"/>
      <c r="F82" s="17"/>
      <c r="J82" s="23" t="str">
        <f>IF((COUNTIF(A78:A82,"Commercial Load (Bulk)")&gt;0),"0.9",IF(COUNTIF(A78:A82,"Industrial Load (Bulk)")&gt;0,"0.9",""))</f>
        <v/>
      </c>
      <c r="R82" s="2"/>
      <c r="S82" s="21"/>
    </row>
    <row r="83" spans="1:25" x14ac:dyDescent="0.3">
      <c r="A83" s="6"/>
      <c r="B83" s="7"/>
      <c r="C83" s="7"/>
      <c r="D83" s="7"/>
      <c r="E83" s="7"/>
      <c r="F83" s="17"/>
    </row>
    <row r="84" spans="1:25" x14ac:dyDescent="0.3">
      <c r="A84" s="8" t="s">
        <v>67</v>
      </c>
      <c r="B84" s="7"/>
      <c r="C84" s="7"/>
      <c r="D84" s="7"/>
      <c r="E84" s="7"/>
      <c r="F84" s="17"/>
    </row>
    <row r="85" spans="1:25" ht="15" thickBot="1" x14ac:dyDescent="0.35">
      <c r="A85" s="6"/>
      <c r="B85" s="7"/>
      <c r="C85" s="7"/>
      <c r="D85" s="7"/>
      <c r="E85" s="7"/>
      <c r="F85" s="17"/>
      <c r="R85" s="2" t="s">
        <v>76</v>
      </c>
      <c r="S85" s="25" t="s">
        <v>77</v>
      </c>
    </row>
    <row r="86" spans="1:25" ht="15" thickBot="1" x14ac:dyDescent="0.35">
      <c r="A86" s="9" t="s">
        <v>1</v>
      </c>
      <c r="B86" s="10" t="s">
        <v>2</v>
      </c>
      <c r="C86" s="10" t="s">
        <v>3</v>
      </c>
      <c r="D86" s="10" t="s">
        <v>4</v>
      </c>
      <c r="E86" s="10" t="s">
        <v>5</v>
      </c>
      <c r="F86" s="18" t="s">
        <v>6</v>
      </c>
      <c r="H86" t="s">
        <v>72</v>
      </c>
      <c r="I86" s="2" t="s">
        <v>73</v>
      </c>
      <c r="J86" s="13" t="str">
        <f>TRUNC(SUMIF(A86:A90,"Residential Load",F86:F90),3)&amp;"(0.6)"</f>
        <v>172.5(0.6)</v>
      </c>
      <c r="K86" s="2" t="s">
        <v>74</v>
      </c>
      <c r="L86" s="13" t="str">
        <f>TRUNC(SUMIF(A86:A90,"Commercial Load",F86:F90),3)&amp;"(0.7)"</f>
        <v>74.75(0.7)</v>
      </c>
      <c r="M86" s="2" t="s">
        <v>74</v>
      </c>
      <c r="N86" s="13" t="str">
        <f>TRUNC(SUMIF(A86:A90,"Industrial Load",F86:F90),3)&amp;"(0.65)"</f>
        <v>0(0.65)</v>
      </c>
      <c r="O86" s="2" t="str">
        <f>"="</f>
        <v>=</v>
      </c>
      <c r="P86" s="20">
        <f>((SUMIF(A86:A90,"Residential Load",F86:F90)*MID(J86,LEN(J86)-3,3))/J87)+((SUMIF(A86:A90,"Commercial Load",F86:F90)*MID(L86,LEN(L86)-3,3))/L87)+((SUMIF(A86:A90,"Industrial Load",F86:F90)*MID(N86,LEN(N86)-3,3))/N87)</f>
        <v>87.589041095890408</v>
      </c>
      <c r="Q86" s="22" t="s">
        <v>75</v>
      </c>
      <c r="R86" s="2">
        <v>0.9</v>
      </c>
      <c r="S86" s="21">
        <f>P86/R86</f>
        <v>97.321156773211555</v>
      </c>
      <c r="U86" s="12" t="s">
        <v>92</v>
      </c>
      <c r="Y86">
        <f>MID(U86,9,SEARCH("T",U86,1)-14)*1</f>
        <v>112.5</v>
      </c>
    </row>
    <row r="87" spans="1:25" x14ac:dyDescent="0.3">
      <c r="A87" s="6" t="s">
        <v>7</v>
      </c>
      <c r="B87" s="7">
        <v>50</v>
      </c>
      <c r="C87" s="7">
        <v>15</v>
      </c>
      <c r="D87" s="7">
        <v>1</v>
      </c>
      <c r="E87" s="7">
        <v>230</v>
      </c>
      <c r="F87" s="17">
        <f>Table1581432120138[[#This Row],[NO. OF ESTABLISHMENTS]]*Table1581432120138[[#This Row],[ESTIMATED AVERAGE AMPACITY]]*Table1581432120138[[#This Row],[VOLTAGE]]/1000</f>
        <v>172.5</v>
      </c>
      <c r="J87" s="2">
        <v>2</v>
      </c>
      <c r="L87" s="2">
        <v>1.46</v>
      </c>
      <c r="N87" s="2">
        <v>0.86</v>
      </c>
    </row>
    <row r="88" spans="1:25" x14ac:dyDescent="0.3">
      <c r="A88" s="6" t="s">
        <v>8</v>
      </c>
      <c r="B88" s="7">
        <v>5</v>
      </c>
      <c r="C88" s="7">
        <v>65</v>
      </c>
      <c r="D88" s="7">
        <v>1</v>
      </c>
      <c r="E88" s="7">
        <v>230</v>
      </c>
      <c r="F88" s="17">
        <f>Table1581432120138[[#This Row],[NO. OF ESTABLISHMENTS]]*Table1581432120138[[#This Row],[ESTIMATED AVERAGE AMPACITY]]*Table1581432120138[[#This Row],[VOLTAGE]]/1000</f>
        <v>74.75</v>
      </c>
    </row>
    <row r="89" spans="1:25" x14ac:dyDescent="0.3">
      <c r="A89" s="6" t="s">
        <v>9</v>
      </c>
      <c r="B89" s="7">
        <v>0</v>
      </c>
      <c r="C89" s="7">
        <v>0</v>
      </c>
      <c r="D89" s="7">
        <v>0</v>
      </c>
      <c r="E89" s="7">
        <v>0</v>
      </c>
      <c r="F89" s="17">
        <v>0</v>
      </c>
      <c r="H89" t="s">
        <v>79</v>
      </c>
      <c r="I89" s="2" t="str">
        <f>"="</f>
        <v>=</v>
      </c>
      <c r="J89" s="2" t="str">
        <f>IF((COUNTIF(A86:A90,"Commercial Load (Bulk)")&gt;0),TRUNC(LOOKUP("Commercial Load (Bulk)",A86:A90,F86:F90))&amp;"(0.7)",IF(COUNTIF(A86:A90,"Industrial Load (Bulk)")&gt;0,TRUNC(LOOKUP("Industrial Load (Bulk)",A86:A90,F86:F90))&amp;"(0.7)",""))</f>
        <v/>
      </c>
      <c r="P89" s="24" t="str">
        <f>IF((COUNTIF(A86:A90,"Commercial Load (Bulk)")&gt;0),(LOOKUP("Commercial Load (Bulk)",A86:A90,F86:F90)*MID(J89,LEN(J89)-3,3))/J90,IF(COUNTIF(A86:A90,"Industrial Load (Bulk)")&gt;0,(LOOKUP("Industrial Load (Bulk)",A86:A90,F86:F90)*MID(J89,LEN(J89)-3,3))/J90,""))</f>
        <v/>
      </c>
      <c r="R89" s="2"/>
      <c r="S89" s="21" t="str">
        <f>IF(ISBLANK(R89),"",P89/R89)</f>
        <v/>
      </c>
    </row>
    <row r="90" spans="1:25" x14ac:dyDescent="0.3">
      <c r="A90" s="6"/>
      <c r="B90" s="7"/>
      <c r="C90" s="7"/>
      <c r="D90" s="7"/>
      <c r="E90" s="7"/>
      <c r="F90" s="17"/>
      <c r="J90" s="23" t="str">
        <f>IF((COUNTIF(A86:A90,"Commercial Load (Bulk)")&gt;0),"0.9",IF(COUNTIF(A86:A90,"Industrial Load (Bulk)")&gt;0,"0.9",""))</f>
        <v/>
      </c>
      <c r="R90" s="2"/>
      <c r="S90" s="21"/>
    </row>
    <row r="91" spans="1:25" x14ac:dyDescent="0.3">
      <c r="A91" s="6"/>
      <c r="B91" s="7"/>
      <c r="C91" s="7"/>
      <c r="D91" s="7"/>
      <c r="E91" s="7"/>
      <c r="F91" s="17"/>
    </row>
    <row r="92" spans="1:25" x14ac:dyDescent="0.3">
      <c r="A92" s="8" t="s">
        <v>68</v>
      </c>
      <c r="B92" s="7"/>
      <c r="C92" s="7"/>
      <c r="D92" s="7"/>
      <c r="E92" s="7"/>
      <c r="F92" s="17"/>
    </row>
    <row r="93" spans="1:25" ht="15" thickBot="1" x14ac:dyDescent="0.35">
      <c r="A93" s="6"/>
      <c r="B93" s="7"/>
      <c r="C93" s="7"/>
      <c r="D93" s="7"/>
      <c r="E93" s="7"/>
      <c r="F93" s="17"/>
      <c r="R93" s="2" t="s">
        <v>76</v>
      </c>
      <c r="S93" s="25" t="s">
        <v>77</v>
      </c>
    </row>
    <row r="94" spans="1:25" ht="15" thickBot="1" x14ac:dyDescent="0.35">
      <c r="A94" s="9" t="s">
        <v>1</v>
      </c>
      <c r="B94" s="10" t="s">
        <v>2</v>
      </c>
      <c r="C94" s="10" t="s">
        <v>3</v>
      </c>
      <c r="D94" s="10" t="s">
        <v>4</v>
      </c>
      <c r="E94" s="10" t="s">
        <v>5</v>
      </c>
      <c r="F94" s="18" t="s">
        <v>6</v>
      </c>
      <c r="H94" t="s">
        <v>72</v>
      </c>
      <c r="I94" s="2" t="s">
        <v>73</v>
      </c>
      <c r="J94" s="13" t="str">
        <f>TRUNC(SUMIF(A94:A98,"Residential Load",F94:F98),3)&amp;"(0.6)"</f>
        <v>172.5(0.6)</v>
      </c>
      <c r="K94" s="2" t="s">
        <v>74</v>
      </c>
      <c r="L94" s="13" t="str">
        <f>TRUNC(SUMIF(A94:A98,"Commercial Load",F94:F98),3)&amp;"(0.7)"</f>
        <v>74.75(0.7)</v>
      </c>
      <c r="M94" s="2" t="s">
        <v>74</v>
      </c>
      <c r="N94" s="13" t="str">
        <f>TRUNC(SUMIF(A94:A98,"Industrial Load",F94:F98),3)&amp;"(0.65)"</f>
        <v>0(0.65)</v>
      </c>
      <c r="O94" s="2" t="str">
        <f>"="</f>
        <v>=</v>
      </c>
      <c r="P94" s="20">
        <f>((SUMIF(A94:A98,"Residential Load",F94:F98)*MID(J94,LEN(J94)-3,3))/J95)+((SUMIF(A94:A98,"Commercial Load",F94:F98)*MID(L94,LEN(L94)-3,3))/L95)+((SUMIF(A94:A98,"Industrial Load",F94:F98)*MID(N94,LEN(N94)-3,3))/N95)</f>
        <v>87.589041095890408</v>
      </c>
      <c r="Q94" s="22" t="s">
        <v>75</v>
      </c>
      <c r="R94" s="2">
        <v>0.9</v>
      </c>
      <c r="S94" s="21">
        <f>P94/R94</f>
        <v>97.321156773211555</v>
      </c>
      <c r="U94" s="12" t="s">
        <v>92</v>
      </c>
      <c r="Y94">
        <f>MID(U94,9,SEARCH("T",U94,1)-14)*1</f>
        <v>112.5</v>
      </c>
    </row>
    <row r="95" spans="1:25" x14ac:dyDescent="0.3">
      <c r="A95" s="6" t="s">
        <v>7</v>
      </c>
      <c r="B95" s="7">
        <v>50</v>
      </c>
      <c r="C95" s="7">
        <v>15</v>
      </c>
      <c r="D95" s="7">
        <v>1</v>
      </c>
      <c r="E95" s="7">
        <v>230</v>
      </c>
      <c r="F95" s="17">
        <f>Table1691533121139[[#This Row],[NO. OF ESTABLISHMENTS]]*Table1691533121139[[#This Row],[ESTIMATED AVERAGE AMPACITY]]*Table1691533121139[[#This Row],[VOLTAGE]]/1000</f>
        <v>172.5</v>
      </c>
      <c r="J95" s="2">
        <v>2</v>
      </c>
      <c r="L95" s="2">
        <v>1.46</v>
      </c>
      <c r="N95" s="2">
        <v>0.86</v>
      </c>
    </row>
    <row r="96" spans="1:25" x14ac:dyDescent="0.3">
      <c r="A96" s="6" t="s">
        <v>8</v>
      </c>
      <c r="B96" s="7">
        <v>5</v>
      </c>
      <c r="C96" s="7">
        <v>65</v>
      </c>
      <c r="D96" s="7">
        <v>1</v>
      </c>
      <c r="E96" s="7">
        <v>230</v>
      </c>
      <c r="F96" s="17">
        <f>Table1691533121139[[#This Row],[NO. OF ESTABLISHMENTS]]*Table1691533121139[[#This Row],[ESTIMATED AVERAGE AMPACITY]]*Table1691533121139[[#This Row],[VOLTAGE]]/1000</f>
        <v>74.75</v>
      </c>
    </row>
    <row r="97" spans="1:25" x14ac:dyDescent="0.3">
      <c r="A97" s="6" t="s">
        <v>9</v>
      </c>
      <c r="B97" s="7">
        <v>0</v>
      </c>
      <c r="C97" s="7">
        <v>0</v>
      </c>
      <c r="D97" s="7">
        <v>0</v>
      </c>
      <c r="E97" s="7">
        <v>0</v>
      </c>
      <c r="F97" s="17">
        <v>0</v>
      </c>
      <c r="H97" t="s">
        <v>79</v>
      </c>
      <c r="I97" s="2" t="str">
        <f>"="</f>
        <v>=</v>
      </c>
      <c r="J97" s="2" t="str">
        <f>IF((COUNTIF(A94:A98,"Commercial Load (Bulk)")&gt;0),TRUNC(LOOKUP("Commercial Load (Bulk)",A94:A98,F94:F98))&amp;"(0.7)",IF(COUNTIF(A94:A98,"Industrial Load (Bulk)")&gt;0,TRUNC(LOOKUP("Industrial Load (Bulk)",A94:A98,F94:F98))&amp;"(0.7)",""))</f>
        <v/>
      </c>
      <c r="P97" s="24" t="str">
        <f>IF((COUNTIF(A94:A98,"Commercial Load (Bulk)")&gt;0),(LOOKUP("Commercial Load (Bulk)",A94:A98,F94:F98)*MID(J97,LEN(J97)-3,3))/J98,IF(COUNTIF(A94:A98,"Industrial Load (Bulk)")&gt;0,(LOOKUP("Industrial Load (Bulk)",A94:A98,F94:F98)*MID(J97,LEN(J97)-3,3))/J98,""))</f>
        <v/>
      </c>
      <c r="R97" s="2"/>
      <c r="S97" s="21" t="str">
        <f>IF(ISBLANK(R97),"",P97/R97)</f>
        <v/>
      </c>
    </row>
    <row r="98" spans="1:25" x14ac:dyDescent="0.3">
      <c r="A98" s="6"/>
      <c r="B98" s="7"/>
      <c r="C98" s="7"/>
      <c r="D98" s="7"/>
      <c r="E98" s="7"/>
      <c r="F98" s="17"/>
      <c r="J98" s="23" t="str">
        <f>IF((COUNTIF(A94:A98,"Commercial Load (Bulk)")&gt;0),"0.9",IF(COUNTIF(A94:A98,"Industrial Load (Bulk)")&gt;0,"0.9",""))</f>
        <v/>
      </c>
      <c r="R98" s="2"/>
      <c r="S98" s="21"/>
    </row>
    <row r="99" spans="1:25" x14ac:dyDescent="0.3">
      <c r="A99" s="6"/>
      <c r="B99" s="7"/>
      <c r="C99" s="7"/>
      <c r="D99" s="7"/>
      <c r="E99" s="7"/>
      <c r="F99" s="17"/>
    </row>
    <row r="100" spans="1:25" x14ac:dyDescent="0.3">
      <c r="A100" s="8" t="s">
        <v>69</v>
      </c>
      <c r="B100" s="7"/>
      <c r="C100" s="7"/>
      <c r="D100" s="7"/>
      <c r="E100" s="7"/>
      <c r="F100" s="17"/>
    </row>
    <row r="101" spans="1:25" ht="15" thickBot="1" x14ac:dyDescent="0.35">
      <c r="A101" s="6"/>
      <c r="B101" s="7"/>
      <c r="C101" s="7"/>
      <c r="D101" s="7"/>
      <c r="E101" s="7"/>
      <c r="F101" s="17"/>
      <c r="R101" s="2" t="s">
        <v>76</v>
      </c>
      <c r="S101" s="25" t="s">
        <v>77</v>
      </c>
    </row>
    <row r="102" spans="1:25" ht="15" thickBot="1" x14ac:dyDescent="0.35">
      <c r="A102" s="9" t="s">
        <v>1</v>
      </c>
      <c r="B102" s="10" t="s">
        <v>2</v>
      </c>
      <c r="C102" s="10" t="s">
        <v>3</v>
      </c>
      <c r="D102" s="10" t="s">
        <v>4</v>
      </c>
      <c r="E102" s="10" t="s">
        <v>5</v>
      </c>
      <c r="F102" s="18" t="s">
        <v>6</v>
      </c>
      <c r="H102" t="s">
        <v>72</v>
      </c>
      <c r="I102" s="2" t="s">
        <v>73</v>
      </c>
      <c r="J102" s="13" t="str">
        <f>TRUNC(SUMIF(A102:A106,"Residential Load",F102:F106),3)&amp;"(0.6)"</f>
        <v>724.5(0.6)</v>
      </c>
      <c r="K102" s="2" t="s">
        <v>74</v>
      </c>
      <c r="L102" s="13" t="str">
        <f>TRUNC(SUMIF(A102:A106,"Commercial Load",F102:F106),3)&amp;"(0.7)"</f>
        <v>517.5(0.7)</v>
      </c>
      <c r="M102" s="2" t="s">
        <v>74</v>
      </c>
      <c r="N102" s="13" t="str">
        <f>TRUNC(SUMIF(A102:A106,"Industrial Load",F102:F106),3)&amp;"(0.65)"</f>
        <v>0(0.65)</v>
      </c>
      <c r="O102" s="2" t="str">
        <f>"="</f>
        <v>=</v>
      </c>
      <c r="P102" s="20">
        <f>((SUMIF(A102:A106,"Residential Load",F102:F106)*MID(J102,LEN(J102)-3,3))/J103)+((SUMIF(A102:A106,"Commercial Load",F102:F106)*MID(L102,LEN(L102)-3,3))/L103)+((SUMIF(A102:A106,"Industrial Load",F102:F106)*MID(N102,LEN(N102)-3,3))/N103)</f>
        <v>465.46643835616442</v>
      </c>
      <c r="Q102" s="22" t="s">
        <v>75</v>
      </c>
      <c r="R102" s="2">
        <v>0.9</v>
      </c>
      <c r="S102" s="21">
        <f>P102/R102</f>
        <v>517.18493150684935</v>
      </c>
      <c r="U102" s="12" t="s">
        <v>95</v>
      </c>
      <c r="Y102">
        <f>MID(U102,9,SEARCH("T",U102,1)-14)*1</f>
        <v>600</v>
      </c>
    </row>
    <row r="103" spans="1:25" x14ac:dyDescent="0.3">
      <c r="A103" s="6" t="s">
        <v>7</v>
      </c>
      <c r="B103" s="7">
        <v>90</v>
      </c>
      <c r="C103" s="7">
        <v>35</v>
      </c>
      <c r="D103" s="7">
        <v>1</v>
      </c>
      <c r="E103" s="7">
        <v>230</v>
      </c>
      <c r="F103" s="17">
        <f>Table11634122140[[#This Row],[NO. OF ESTABLISHMENTS]]*Table11634122140[[#This Row],[ESTIMATED AVERAGE AMPACITY]]*Table11634122140[[#This Row],[VOLTAGE]]/1000</f>
        <v>724.5</v>
      </c>
      <c r="J103" s="2">
        <v>2</v>
      </c>
      <c r="L103" s="2">
        <v>1.46</v>
      </c>
      <c r="N103" s="2">
        <v>0.86</v>
      </c>
    </row>
    <row r="104" spans="1:25" x14ac:dyDescent="0.3">
      <c r="A104" s="6" t="s">
        <v>8</v>
      </c>
      <c r="B104" s="7">
        <v>25</v>
      </c>
      <c r="C104" s="7">
        <v>90</v>
      </c>
      <c r="D104" s="7">
        <v>1</v>
      </c>
      <c r="E104" s="7">
        <v>230</v>
      </c>
      <c r="F104" s="17">
        <f>Table11634122140[[#This Row],[NO. OF ESTABLISHMENTS]]*Table11634122140[[#This Row],[ESTIMATED AVERAGE AMPACITY]]*Table11634122140[[#This Row],[VOLTAGE]]/1000</f>
        <v>517.5</v>
      </c>
    </row>
    <row r="105" spans="1:25" x14ac:dyDescent="0.3">
      <c r="A105" s="6" t="s">
        <v>9</v>
      </c>
      <c r="B105" s="7">
        <v>0</v>
      </c>
      <c r="C105" s="7">
        <v>0</v>
      </c>
      <c r="D105" s="7">
        <v>0</v>
      </c>
      <c r="E105" s="7">
        <v>0</v>
      </c>
      <c r="F105" s="17">
        <v>0</v>
      </c>
      <c r="H105" t="s">
        <v>79</v>
      </c>
      <c r="I105" s="2" t="str">
        <f>"="</f>
        <v>=</v>
      </c>
      <c r="J105" s="2" t="str">
        <f>IF((COUNTIF(A102:A106,"Commercial Load (Bulk)")&gt;0),TRUNC(LOOKUP("Commercial Load (Bulk)",A102:A106,F102:F106))&amp;"(0.7)",IF(COUNTIF(A102:A106,"Industrial Load (Bulk)")&gt;0,TRUNC(LOOKUP("Industrial Load (Bulk)",A102:A106,F102:F106))&amp;"(0.7)",""))</f>
        <v/>
      </c>
      <c r="P105" s="24" t="str">
        <f>IF((COUNTIF(A102:A106,"Commercial Load (Bulk)")&gt;0),(LOOKUP("Commercial Load (Bulk)",A102:A106,F102:F106)*MID(J105,LEN(J105)-3,3))/J106,IF(COUNTIF(A102:A106,"Industrial Load (Bulk)")&gt;0,(LOOKUP("Industrial Load (Bulk)",A102:A106,F102:F106)*MID(J105,LEN(J105)-3,3))/J106,""))</f>
        <v/>
      </c>
      <c r="R105" s="2"/>
      <c r="S105" s="21" t="str">
        <f>IF(ISBLANK(R105),"",P105/R105)</f>
        <v/>
      </c>
    </row>
    <row r="106" spans="1:25" x14ac:dyDescent="0.3">
      <c r="A106" s="6"/>
      <c r="B106" s="7"/>
      <c r="C106" s="7"/>
      <c r="D106" s="7"/>
      <c r="E106" s="7"/>
      <c r="F106" s="17"/>
      <c r="J106" s="23" t="str">
        <f>IF((COUNTIF(A102:A106,"Commercial Load (Bulk)")&gt;0),"0.9",IF(COUNTIF(A102:A106,"Industrial Load (Bulk)")&gt;0,"0.9",""))</f>
        <v/>
      </c>
      <c r="R106" s="2"/>
      <c r="S106" s="21"/>
    </row>
    <row r="107" spans="1:25" x14ac:dyDescent="0.3">
      <c r="A107" s="6"/>
      <c r="B107" s="7"/>
      <c r="C107" s="7"/>
      <c r="D107" s="7"/>
      <c r="E107" s="7"/>
      <c r="F107" s="17"/>
    </row>
    <row r="108" spans="1:25" x14ac:dyDescent="0.3">
      <c r="A108" s="8" t="s">
        <v>70</v>
      </c>
      <c r="B108" s="7"/>
      <c r="C108" s="7"/>
      <c r="D108" s="7"/>
      <c r="E108" s="7"/>
      <c r="F108" s="17"/>
    </row>
    <row r="109" spans="1:25" ht="15" thickBot="1" x14ac:dyDescent="0.35">
      <c r="A109" s="6"/>
      <c r="B109" s="7"/>
      <c r="C109" s="7"/>
      <c r="D109" s="7"/>
      <c r="E109" s="7"/>
      <c r="F109" s="17"/>
      <c r="R109" s="2" t="s">
        <v>76</v>
      </c>
      <c r="S109" s="25" t="s">
        <v>77</v>
      </c>
    </row>
    <row r="110" spans="1:25" ht="15" thickBot="1" x14ac:dyDescent="0.35">
      <c r="A110" s="9" t="s">
        <v>1</v>
      </c>
      <c r="B110" s="10" t="s">
        <v>2</v>
      </c>
      <c r="C110" s="10" t="s">
        <v>3</v>
      </c>
      <c r="D110" s="10" t="s">
        <v>4</v>
      </c>
      <c r="E110" s="10" t="s">
        <v>5</v>
      </c>
      <c r="F110" s="18" t="s">
        <v>6</v>
      </c>
      <c r="H110" t="s">
        <v>72</v>
      </c>
      <c r="I110" s="2" t="s">
        <v>73</v>
      </c>
      <c r="J110" s="13" t="str">
        <f>TRUNC(SUMIF(A110:A114,"Residential Load",F110:F114),3)&amp;"(0.6)"</f>
        <v>828(0.6)</v>
      </c>
      <c r="K110" s="2" t="s">
        <v>74</v>
      </c>
      <c r="L110" s="13" t="str">
        <f>TRUNC(SUMIF(A110:A114,"Commercial Load",F110:F114),3)&amp;"(0.7)"</f>
        <v>322(0.7)</v>
      </c>
      <c r="M110" s="2" t="s">
        <v>74</v>
      </c>
      <c r="N110" s="13" t="str">
        <f>TRUNC(SUMIF(A110:A114,"Industrial Load",F110:F114),3)&amp;"(0.65)"</f>
        <v>0(0.65)</v>
      </c>
      <c r="O110" s="2" t="str">
        <f>"="</f>
        <v>=</v>
      </c>
      <c r="P110" s="20">
        <f>((SUMIF(A110:A114,"Residential Load",F110:F114)*MID(J110,LEN(J110)-3,3))/J111)+((SUMIF(A110:A114,"Commercial Load",F110:F114)*MID(L110,LEN(L110)-3,3))/L111)+((SUMIF(A110:A114,"Industrial Load",F110:F114)*MID(N110,LEN(N110)-3,3))/N111)</f>
        <v>402.78356164383558</v>
      </c>
      <c r="Q110" s="22" t="s">
        <v>75</v>
      </c>
      <c r="R110" s="2">
        <v>0.9</v>
      </c>
      <c r="S110" s="21">
        <f>P110/R110</f>
        <v>447.53729071537288</v>
      </c>
      <c r="U110" s="12" t="s">
        <v>89</v>
      </c>
      <c r="Y110">
        <f>MID(U110,9,SEARCH("T",U110,1)-14)*1</f>
        <v>450</v>
      </c>
    </row>
    <row r="111" spans="1:25" x14ac:dyDescent="0.3">
      <c r="A111" s="6" t="s">
        <v>7</v>
      </c>
      <c r="B111" s="7">
        <v>120</v>
      </c>
      <c r="C111" s="7">
        <v>30</v>
      </c>
      <c r="D111" s="7">
        <v>1</v>
      </c>
      <c r="E111" s="7">
        <v>230</v>
      </c>
      <c r="F111" s="17">
        <f>Table151735123141[[#This Row],[NO. OF ESTABLISHMENTS]]*Table151735123141[[#This Row],[ESTIMATED AVERAGE AMPACITY]]*Table151735123141[[#This Row],[VOLTAGE]]/1000</f>
        <v>828</v>
      </c>
      <c r="J111" s="2">
        <v>2</v>
      </c>
      <c r="L111" s="2">
        <v>1.46</v>
      </c>
      <c r="N111" s="2">
        <v>0.86</v>
      </c>
    </row>
    <row r="112" spans="1:25" x14ac:dyDescent="0.3">
      <c r="A112" s="6" t="s">
        <v>8</v>
      </c>
      <c r="B112" s="7">
        <v>20</v>
      </c>
      <c r="C112" s="7">
        <v>70</v>
      </c>
      <c r="D112" s="7">
        <v>1</v>
      </c>
      <c r="E112" s="7">
        <v>230</v>
      </c>
      <c r="F112" s="17">
        <f>Table151735123141[[#This Row],[NO. OF ESTABLISHMENTS]]*Table151735123141[[#This Row],[ESTIMATED AVERAGE AMPACITY]]*Table151735123141[[#This Row],[VOLTAGE]]/1000</f>
        <v>322</v>
      </c>
    </row>
    <row r="113" spans="1:38" x14ac:dyDescent="0.3">
      <c r="A113" s="6" t="s">
        <v>9</v>
      </c>
      <c r="B113" s="7">
        <v>0</v>
      </c>
      <c r="C113" s="7">
        <v>0</v>
      </c>
      <c r="D113" s="7">
        <v>0</v>
      </c>
      <c r="E113" s="7">
        <v>0</v>
      </c>
      <c r="F113" s="17">
        <v>0</v>
      </c>
      <c r="H113" t="s">
        <v>79</v>
      </c>
      <c r="I113" s="2" t="str">
        <f>"="</f>
        <v>=</v>
      </c>
      <c r="J113" s="2" t="str">
        <f>IF((COUNTIF(A110:A114,"Commercial Load (Bulk)")&gt;0),TRUNC(LOOKUP("Commercial Load (Bulk)",A110:A114,F110:F114))&amp;"(0.7)",IF(COUNTIF(A110:A114,"Industrial Load (Bulk)")&gt;0,TRUNC(LOOKUP("Industrial Load (Bulk)",A110:A114,F110:F114))&amp;"(0.7)",""))</f>
        <v/>
      </c>
      <c r="P113" s="24" t="str">
        <f>IF((COUNTIF(A110:A114,"Commercial Load (Bulk)")&gt;0),(LOOKUP("Commercial Load (Bulk)",A110:A114,F110:F114)*MID(J113,LEN(J113)-3,3))/J114,IF(COUNTIF(A110:A114,"Industrial Load (Bulk)")&gt;0,(LOOKUP("Industrial Load (Bulk)",A110:A114,F110:F114)*MID(J113,LEN(J113)-3,3))/J114,""))</f>
        <v/>
      </c>
      <c r="R113" s="2"/>
      <c r="S113" s="21" t="str">
        <f>IF(ISBLANK(R113),"",P113/R113)</f>
        <v/>
      </c>
    </row>
    <row r="114" spans="1:38" x14ac:dyDescent="0.3">
      <c r="A114" s="6"/>
      <c r="B114" s="7"/>
      <c r="C114" s="7"/>
      <c r="D114" s="7"/>
      <c r="E114" s="7"/>
      <c r="F114" s="17"/>
      <c r="J114" s="23" t="str">
        <f>IF((COUNTIF(A110:A114,"Commercial Load (Bulk)")&gt;0),"0.9",IF(COUNTIF(A110:A114,"Industrial Load (Bulk)")&gt;0,"0.9",""))</f>
        <v/>
      </c>
      <c r="R114" s="2"/>
      <c r="S114" s="21"/>
    </row>
    <row r="115" spans="1:38" x14ac:dyDescent="0.3">
      <c r="A115" s="6"/>
      <c r="B115" s="7"/>
      <c r="C115" s="7"/>
      <c r="D115" s="7"/>
      <c r="E115" s="7"/>
      <c r="F115" s="17"/>
    </row>
    <row r="116" spans="1:38" x14ac:dyDescent="0.3">
      <c r="A116" s="8" t="s">
        <v>56</v>
      </c>
      <c r="B116" s="7"/>
      <c r="C116" s="7"/>
      <c r="D116" s="7"/>
      <c r="E116" s="7"/>
      <c r="F116" s="17"/>
    </row>
    <row r="117" spans="1:38" ht="15" thickBot="1" x14ac:dyDescent="0.35">
      <c r="A117" s="6"/>
      <c r="B117" s="7"/>
      <c r="C117" s="7"/>
      <c r="D117" s="7"/>
      <c r="E117" s="7"/>
      <c r="F117" s="17"/>
      <c r="R117" s="2" t="s">
        <v>76</v>
      </c>
      <c r="S117" s="25" t="s">
        <v>77</v>
      </c>
    </row>
    <row r="118" spans="1:38" ht="15" thickBot="1" x14ac:dyDescent="0.35">
      <c r="A118" s="9" t="s">
        <v>1</v>
      </c>
      <c r="B118" s="10" t="s">
        <v>2</v>
      </c>
      <c r="C118" s="10" t="s">
        <v>3</v>
      </c>
      <c r="D118" s="10" t="s">
        <v>4</v>
      </c>
      <c r="E118" s="10" t="s">
        <v>5</v>
      </c>
      <c r="F118" s="18" t="s">
        <v>6</v>
      </c>
      <c r="H118" t="s">
        <v>72</v>
      </c>
      <c r="I118" s="2" t="s">
        <v>73</v>
      </c>
      <c r="J118" s="13" t="str">
        <f>TRUNC(SUMIF(A118:A122,"Residential Load",F118:F122),3)&amp;"(0.6)"</f>
        <v>1104(0.6)</v>
      </c>
      <c r="K118" s="2" t="s">
        <v>74</v>
      </c>
      <c r="L118" s="13" t="str">
        <f>TRUNC(SUMIF(A118:A122,"Commercial Load",F118:F122),3)&amp;"(0.7)"</f>
        <v>241.5(0.7)</v>
      </c>
      <c r="M118" s="2" t="s">
        <v>74</v>
      </c>
      <c r="N118" s="13" t="str">
        <f>TRUNC(SUMIF(A118:A122,"Industrial Load",F118:F122),3)&amp;"(0.65)"</f>
        <v>0(0.65)</v>
      </c>
      <c r="O118" s="2" t="str">
        <f>"="</f>
        <v>=</v>
      </c>
      <c r="P118" s="20">
        <f>((SUMIF(A118:A122,"Residential Load",F118:F122)*MID(J118,LEN(J118)-3,3))/J119)+((SUMIF(A118:A122,"Commercial Load",F118:F122)*MID(L118,LEN(L118)-3,3))/L119)+((SUMIF(A118:A122,"Industrial Load",F118:F122)*MID(N118,LEN(N118)-3,3))/N119)</f>
        <v>446.98767123287666</v>
      </c>
      <c r="Q118" s="22" t="s">
        <v>75</v>
      </c>
      <c r="R118" s="2">
        <v>0.9</v>
      </c>
      <c r="S118" s="21">
        <f>P118/R118</f>
        <v>496.65296803652961</v>
      </c>
      <c r="U118" s="12" t="s">
        <v>96</v>
      </c>
      <c r="Y118">
        <f>MID(U118,9,SEARCH("T",U118,1)-14)*1</f>
        <v>500</v>
      </c>
    </row>
    <row r="119" spans="1:38" x14ac:dyDescent="0.3">
      <c r="A119" s="6" t="s">
        <v>7</v>
      </c>
      <c r="B119" s="7">
        <v>160</v>
      </c>
      <c r="C119" s="7">
        <v>30</v>
      </c>
      <c r="D119" s="7">
        <v>1</v>
      </c>
      <c r="E119" s="7">
        <v>230</v>
      </c>
      <c r="F119" s="17">
        <f>Table161836124142[[#This Row],[NO. OF ESTABLISHMENTS]]*Table161836124142[[#This Row],[ESTIMATED AVERAGE AMPACITY]]*Table161836124142[[#This Row],[VOLTAGE]]/1000</f>
        <v>1104</v>
      </c>
      <c r="J119" s="2">
        <v>2</v>
      </c>
      <c r="L119" s="2">
        <v>1.46</v>
      </c>
      <c r="N119" s="2">
        <v>0.86</v>
      </c>
    </row>
    <row r="120" spans="1:38" x14ac:dyDescent="0.3">
      <c r="A120" s="6" t="s">
        <v>8</v>
      </c>
      <c r="B120" s="7">
        <v>15</v>
      </c>
      <c r="C120" s="7">
        <v>70</v>
      </c>
      <c r="D120" s="7">
        <v>1</v>
      </c>
      <c r="E120" s="7">
        <v>230</v>
      </c>
      <c r="F120" s="17">
        <f>Table161836124142[[#This Row],[NO. OF ESTABLISHMENTS]]*Table161836124142[[#This Row],[ESTIMATED AVERAGE AMPACITY]]*Table161836124142[[#This Row],[VOLTAGE]]/1000</f>
        <v>241.5</v>
      </c>
    </row>
    <row r="121" spans="1:38" x14ac:dyDescent="0.3">
      <c r="A121" s="6" t="s">
        <v>9</v>
      </c>
      <c r="B121" s="7">
        <v>0</v>
      </c>
      <c r="C121" s="7">
        <v>0</v>
      </c>
      <c r="D121" s="7">
        <v>0</v>
      </c>
      <c r="E121" s="7">
        <v>0</v>
      </c>
      <c r="F121" s="17">
        <v>0</v>
      </c>
      <c r="H121" t="s">
        <v>79</v>
      </c>
      <c r="I121" s="2" t="str">
        <f>"="</f>
        <v>=</v>
      </c>
      <c r="J121" s="2" t="str">
        <f>IF((COUNTIF(A118:A122,"Commercial Load (Bulk)")&gt;0),TRUNC(LOOKUP("Commercial Load (Bulk)",A118:A122,F118:F122))&amp;"(0.7)",IF(COUNTIF(A118:A122,"Industrial Load (Bulk)")&gt;0,TRUNC(LOOKUP("Industrial Load (Bulk)",A118:A122,F118:F122))&amp;"(0.7)",""))</f>
        <v/>
      </c>
      <c r="P121" s="24" t="str">
        <f>IF((COUNTIF(A118:A122,"Commercial Load (Bulk)")&gt;0),(LOOKUP("Commercial Load (Bulk)",A118:A122,F118:F122)*MID(J121,LEN(J121)-3,3))/J122,IF(COUNTIF(A118:A122,"Industrial Load (Bulk)")&gt;0,(LOOKUP("Industrial Load (Bulk)",A118:A122,F118:F122)*MID(J121,LEN(J121)-3,3))/J122,""))</f>
        <v/>
      </c>
      <c r="R121" s="2"/>
      <c r="S121" s="21" t="str">
        <f>IF(ISBLANK(R121),"",P121/R121)</f>
        <v/>
      </c>
    </row>
    <row r="122" spans="1:38" x14ac:dyDescent="0.3">
      <c r="A122" s="6"/>
      <c r="B122" s="7"/>
      <c r="C122" s="7"/>
      <c r="D122" s="7"/>
      <c r="E122" s="7"/>
      <c r="F122" s="17"/>
      <c r="J122" s="23" t="str">
        <f>IF((COUNTIF(A118:A122,"Commercial Load (Bulk)")&gt;0),"0.9",IF(COUNTIF(A118:A122,"Industrial Load (Bulk)")&gt;0,"0.9",""))</f>
        <v/>
      </c>
      <c r="R122" s="2"/>
      <c r="S122" s="21"/>
      <c r="AE122"/>
      <c r="AF122"/>
      <c r="AG122"/>
      <c r="AH122"/>
      <c r="AI122"/>
      <c r="AJ122"/>
      <c r="AK122"/>
      <c r="AL122"/>
    </row>
    <row r="123" spans="1:38" x14ac:dyDescent="0.3">
      <c r="AE123"/>
      <c r="AF123"/>
      <c r="AG123"/>
      <c r="AH123"/>
      <c r="AI123"/>
      <c r="AJ123"/>
      <c r="AK123"/>
      <c r="AL123"/>
    </row>
    <row r="124" spans="1:38" x14ac:dyDescent="0.3">
      <c r="A124" s="8" t="s">
        <v>71</v>
      </c>
      <c r="B124" s="7"/>
      <c r="C124" s="7"/>
      <c r="D124" s="7"/>
      <c r="E124" s="7"/>
      <c r="F124" s="17"/>
      <c r="AE124"/>
      <c r="AF124"/>
      <c r="AG124"/>
      <c r="AH124"/>
      <c r="AI124"/>
      <c r="AJ124"/>
      <c r="AK124"/>
      <c r="AL124"/>
    </row>
    <row r="125" spans="1:38" ht="15" thickBot="1" x14ac:dyDescent="0.35">
      <c r="A125" s="6"/>
      <c r="B125" s="7"/>
      <c r="C125" s="7"/>
      <c r="D125" s="7"/>
      <c r="E125" s="7"/>
      <c r="F125" s="17"/>
      <c r="R125" s="2" t="s">
        <v>76</v>
      </c>
      <c r="S125" s="25" t="s">
        <v>77</v>
      </c>
      <c r="AE125"/>
      <c r="AF125"/>
      <c r="AG125"/>
      <c r="AH125"/>
      <c r="AI125"/>
      <c r="AJ125"/>
      <c r="AK125"/>
      <c r="AL125"/>
    </row>
    <row r="126" spans="1:38" ht="15" thickBot="1" x14ac:dyDescent="0.35">
      <c r="A126" s="9" t="s">
        <v>1</v>
      </c>
      <c r="B126" s="10" t="s">
        <v>2</v>
      </c>
      <c r="C126" s="10" t="s">
        <v>3</v>
      </c>
      <c r="D126" s="10" t="s">
        <v>4</v>
      </c>
      <c r="E126" s="10" t="s">
        <v>5</v>
      </c>
      <c r="F126" s="18" t="s">
        <v>6</v>
      </c>
      <c r="H126" t="s">
        <v>72</v>
      </c>
      <c r="I126" s="2" t="s">
        <v>73</v>
      </c>
      <c r="J126" s="13" t="str">
        <f>TRUNC(SUMIF(A126:A130,"Residential Load",F126:F130),3)&amp;"(0.6)"</f>
        <v>172.5(0.6)</v>
      </c>
      <c r="K126" s="2" t="s">
        <v>74</v>
      </c>
      <c r="L126" s="13" t="str">
        <f>TRUNC(SUMIF(A126:A130,"Commercial Load",F126:F130),3)&amp;"(0.7)"</f>
        <v>74.75(0.7)</v>
      </c>
      <c r="M126" s="2" t="s">
        <v>74</v>
      </c>
      <c r="N126" s="13" t="str">
        <f>TRUNC(SUMIF(A126:A130,"Industrial Load",F126:F130),3)&amp;"(0.65)"</f>
        <v>0(0.65)</v>
      </c>
      <c r="O126" s="2" t="str">
        <f>"="</f>
        <v>=</v>
      </c>
      <c r="P126" s="20">
        <f>((SUMIF(A126:A130,"Residential Load",F126:F130)*MID(J126,LEN(J126)-3,3))/J127)+((SUMIF(A126:A130,"Commercial Load",F126:F130)*MID(L126,LEN(L126)-3,3))/L127)+((SUMIF(A126:A130,"Industrial Load",F126:F130)*MID(N126,LEN(N126)-3,3))/N127)</f>
        <v>87.589041095890408</v>
      </c>
      <c r="Q126" s="22" t="s">
        <v>75</v>
      </c>
      <c r="R126" s="2">
        <v>0.9</v>
      </c>
      <c r="S126" s="21">
        <f>P126/R126</f>
        <v>97.321156773211555</v>
      </c>
      <c r="U126" s="12" t="s">
        <v>92</v>
      </c>
      <c r="Y126">
        <f>MID(U126,9,SEARCH("T",U126,1)-14)*1</f>
        <v>112.5</v>
      </c>
      <c r="AE126"/>
      <c r="AF126"/>
      <c r="AG126"/>
      <c r="AH126"/>
      <c r="AI126"/>
      <c r="AJ126"/>
      <c r="AK126"/>
      <c r="AL126"/>
    </row>
    <row r="127" spans="1:38" x14ac:dyDescent="0.3">
      <c r="A127" s="6" t="s">
        <v>7</v>
      </c>
      <c r="B127" s="7">
        <v>50</v>
      </c>
      <c r="C127" s="7">
        <v>15</v>
      </c>
      <c r="D127" s="7">
        <v>1</v>
      </c>
      <c r="E127" s="7">
        <v>230</v>
      </c>
      <c r="F127" s="17">
        <f>Table161836124142143[[#This Row],[NO. OF ESTABLISHMENTS]]*Table161836124142143[[#This Row],[ESTIMATED AVERAGE AMPACITY]]*Table161836124142143[[#This Row],[VOLTAGE]]/1000</f>
        <v>172.5</v>
      </c>
      <c r="J127" s="2">
        <v>2</v>
      </c>
      <c r="L127" s="2">
        <v>1.46</v>
      </c>
      <c r="N127" s="2">
        <v>0.86</v>
      </c>
      <c r="AE127"/>
      <c r="AF127"/>
      <c r="AG127"/>
      <c r="AH127"/>
      <c r="AI127"/>
      <c r="AJ127"/>
      <c r="AK127"/>
      <c r="AL127"/>
    </row>
    <row r="128" spans="1:38" x14ac:dyDescent="0.3">
      <c r="A128" s="6" t="s">
        <v>8</v>
      </c>
      <c r="B128" s="7">
        <v>5</v>
      </c>
      <c r="C128" s="7">
        <v>65</v>
      </c>
      <c r="D128" s="7">
        <v>1</v>
      </c>
      <c r="E128" s="7">
        <v>230</v>
      </c>
      <c r="F128" s="17">
        <f>Table161836124142143[[#This Row],[NO. OF ESTABLISHMENTS]]*Table161836124142143[[#This Row],[ESTIMATED AVERAGE AMPACITY]]*Table161836124142143[[#This Row],[VOLTAGE]]/1000</f>
        <v>74.75</v>
      </c>
      <c r="AE128"/>
      <c r="AF128"/>
      <c r="AG128"/>
      <c r="AH128"/>
      <c r="AI128"/>
      <c r="AJ128"/>
      <c r="AK128"/>
      <c r="AL128"/>
    </row>
    <row r="129" spans="1:38" x14ac:dyDescent="0.3">
      <c r="A129" s="6" t="s">
        <v>9</v>
      </c>
      <c r="B129" s="7">
        <v>0</v>
      </c>
      <c r="C129" s="7">
        <v>0</v>
      </c>
      <c r="D129" s="7">
        <v>0</v>
      </c>
      <c r="E129" s="7">
        <v>0</v>
      </c>
      <c r="F129" s="17">
        <v>0</v>
      </c>
      <c r="H129" t="s">
        <v>79</v>
      </c>
      <c r="I129" s="2" t="str">
        <f>"="</f>
        <v>=</v>
      </c>
      <c r="J129" s="2" t="str">
        <f>IF((COUNTIF(A126:A130,"Commercial Load (Bulk)")&gt;0),TRUNC(LOOKUP("Commercial Load (Bulk)",A126:A130,F126:F130))&amp;"(0.7)",IF(COUNTIF(A126:A130,"Industrial Load (Bulk)")&gt;0,TRUNC(LOOKUP("Industrial Load (Bulk)",A126:A130,F126:F130))&amp;"(0.7)",""))</f>
        <v/>
      </c>
      <c r="P129" s="24" t="str">
        <f>IF((COUNTIF(A126:A130,"Commercial Load (Bulk)")&gt;0),(LOOKUP("Commercial Load (Bulk)",A126:A130,F126:F130)*MID(J129,LEN(J129)-3,3))/J130,IF(COUNTIF(A126:A130,"Industrial Load (Bulk)")&gt;0,(LOOKUP("Industrial Load (Bulk)",A126:A130,F126:F130)*MID(J129,LEN(J129)-3,3))/J130,""))</f>
        <v/>
      </c>
      <c r="R129" s="2"/>
      <c r="S129" s="21" t="str">
        <f>IF(ISBLANK(R129),"",P129/R129)</f>
        <v/>
      </c>
      <c r="AE129"/>
      <c r="AF129"/>
      <c r="AG129"/>
      <c r="AH129"/>
      <c r="AI129"/>
      <c r="AJ129"/>
      <c r="AK129"/>
      <c r="AL129"/>
    </row>
    <row r="130" spans="1:38" x14ac:dyDescent="0.3">
      <c r="J130" s="23" t="str">
        <f>IF((COUNTIF(A126:A130,"Commercial Load (Bulk)")&gt;0),"0.9",IF(COUNTIF(A126:A130,"Industrial Load (Bulk)")&gt;0,"0.9",""))</f>
        <v/>
      </c>
      <c r="R130" s="2"/>
      <c r="S130" s="21"/>
      <c r="AE130"/>
      <c r="AF130"/>
      <c r="AG130"/>
      <c r="AH130"/>
      <c r="AI130"/>
      <c r="AJ130"/>
      <c r="AK130"/>
      <c r="AL130"/>
    </row>
    <row r="131" spans="1:38" x14ac:dyDescent="0.3">
      <c r="AE131"/>
      <c r="AF131"/>
      <c r="AG131"/>
      <c r="AH131"/>
      <c r="AI131"/>
      <c r="AJ131"/>
      <c r="AK131"/>
      <c r="AL131"/>
    </row>
    <row r="132" spans="1:38" x14ac:dyDescent="0.3">
      <c r="F132"/>
      <c r="AE132"/>
      <c r="AF132"/>
      <c r="AG132"/>
      <c r="AH132"/>
      <c r="AI132"/>
      <c r="AJ132"/>
      <c r="AK132"/>
      <c r="AL132"/>
    </row>
    <row r="133" spans="1:38" x14ac:dyDescent="0.3">
      <c r="F133"/>
      <c r="AE133"/>
      <c r="AF133"/>
      <c r="AG133"/>
      <c r="AH133"/>
      <c r="AI133"/>
      <c r="AJ133"/>
      <c r="AK133"/>
      <c r="AL133"/>
    </row>
    <row r="134" spans="1:38" x14ac:dyDescent="0.3">
      <c r="F134"/>
      <c r="AE134"/>
      <c r="AF134"/>
      <c r="AG134"/>
      <c r="AH134"/>
      <c r="AI134"/>
      <c r="AJ134"/>
      <c r="AK134"/>
      <c r="AL134"/>
    </row>
    <row r="135" spans="1:38" x14ac:dyDescent="0.3">
      <c r="F135"/>
      <c r="AE135"/>
      <c r="AF135"/>
      <c r="AG135"/>
      <c r="AH135"/>
      <c r="AI135"/>
      <c r="AJ135"/>
      <c r="AK135"/>
      <c r="AL135"/>
    </row>
    <row r="136" spans="1:38" x14ac:dyDescent="0.3">
      <c r="F136"/>
      <c r="AE136"/>
      <c r="AF136"/>
      <c r="AG136"/>
      <c r="AH136"/>
      <c r="AI136"/>
      <c r="AJ136"/>
      <c r="AK136"/>
      <c r="AL136"/>
    </row>
    <row r="137" spans="1:38" x14ac:dyDescent="0.3">
      <c r="F137"/>
      <c r="AE137"/>
      <c r="AF137"/>
      <c r="AG137"/>
      <c r="AH137"/>
      <c r="AI137"/>
      <c r="AJ137"/>
      <c r="AK137"/>
      <c r="AL137"/>
    </row>
    <row r="138" spans="1:38" x14ac:dyDescent="0.3">
      <c r="F138"/>
      <c r="AE138"/>
      <c r="AF138"/>
      <c r="AG138"/>
      <c r="AH138"/>
      <c r="AI138"/>
      <c r="AJ138"/>
      <c r="AK138"/>
      <c r="AL138"/>
    </row>
    <row r="139" spans="1:38" x14ac:dyDescent="0.3">
      <c r="F139"/>
      <c r="AE139"/>
      <c r="AF139"/>
      <c r="AG139"/>
      <c r="AH139"/>
      <c r="AI139"/>
      <c r="AJ139"/>
      <c r="AK139"/>
      <c r="AL139"/>
    </row>
    <row r="140" spans="1:38" x14ac:dyDescent="0.3">
      <c r="F140"/>
      <c r="AE140"/>
      <c r="AF140"/>
      <c r="AG140"/>
      <c r="AH140"/>
      <c r="AI140"/>
      <c r="AJ140"/>
      <c r="AK140"/>
      <c r="AL140"/>
    </row>
    <row r="141" spans="1:38" x14ac:dyDescent="0.3">
      <c r="F141"/>
      <c r="AE141"/>
      <c r="AF141"/>
      <c r="AG141"/>
      <c r="AH141"/>
      <c r="AI141"/>
      <c r="AJ141"/>
      <c r="AK141"/>
      <c r="AL141"/>
    </row>
    <row r="142" spans="1:38" x14ac:dyDescent="0.3">
      <c r="F142"/>
      <c r="AE142"/>
      <c r="AF142"/>
      <c r="AG142"/>
      <c r="AH142"/>
      <c r="AI142"/>
      <c r="AJ142"/>
      <c r="AK142"/>
      <c r="AL142"/>
    </row>
    <row r="143" spans="1:38" x14ac:dyDescent="0.3">
      <c r="F143"/>
      <c r="AE143"/>
      <c r="AF143"/>
      <c r="AG143"/>
      <c r="AH143"/>
      <c r="AI143"/>
      <c r="AJ143"/>
      <c r="AK143"/>
      <c r="AL143"/>
    </row>
    <row r="144" spans="1:38" x14ac:dyDescent="0.3">
      <c r="F144"/>
      <c r="AE144"/>
      <c r="AF144"/>
      <c r="AG144"/>
      <c r="AH144"/>
      <c r="AI144"/>
      <c r="AJ144"/>
      <c r="AK144"/>
      <c r="AL144"/>
    </row>
    <row r="145" spans="6:38" x14ac:dyDescent="0.3">
      <c r="F145"/>
      <c r="AE145"/>
      <c r="AF145"/>
      <c r="AG145"/>
      <c r="AH145"/>
      <c r="AI145"/>
      <c r="AJ145"/>
      <c r="AK145"/>
      <c r="AL145"/>
    </row>
    <row r="146" spans="6:38" x14ac:dyDescent="0.3">
      <c r="F146"/>
      <c r="AE146"/>
      <c r="AF146"/>
      <c r="AG146"/>
      <c r="AH146"/>
      <c r="AI146"/>
      <c r="AJ146"/>
      <c r="AK146"/>
      <c r="AL146"/>
    </row>
    <row r="147" spans="6:38" x14ac:dyDescent="0.3">
      <c r="AE147"/>
      <c r="AF147"/>
      <c r="AG147"/>
      <c r="AH147"/>
      <c r="AI147"/>
      <c r="AJ147"/>
      <c r="AK147"/>
      <c r="AL147"/>
    </row>
    <row r="148" spans="6:38" x14ac:dyDescent="0.3">
      <c r="AE148"/>
      <c r="AF148"/>
      <c r="AG148"/>
      <c r="AH148"/>
      <c r="AI148"/>
      <c r="AJ148"/>
      <c r="AK148"/>
      <c r="AL148"/>
    </row>
    <row r="149" spans="6:38" x14ac:dyDescent="0.3">
      <c r="AE149"/>
      <c r="AF149"/>
      <c r="AG149"/>
      <c r="AH149"/>
      <c r="AI149"/>
      <c r="AJ149"/>
      <c r="AK149"/>
      <c r="AL149"/>
    </row>
    <row r="150" spans="6:38" x14ac:dyDescent="0.3">
      <c r="AE150"/>
      <c r="AF150"/>
      <c r="AG150"/>
      <c r="AH150"/>
      <c r="AI150"/>
      <c r="AJ150"/>
      <c r="AK150"/>
      <c r="AL150"/>
    </row>
    <row r="151" spans="6:38" x14ac:dyDescent="0.3">
      <c r="AE151"/>
      <c r="AF151"/>
      <c r="AG151"/>
      <c r="AH151"/>
      <c r="AI151"/>
      <c r="AJ151"/>
      <c r="AK151"/>
      <c r="AL151"/>
    </row>
    <row r="152" spans="6:38" x14ac:dyDescent="0.3">
      <c r="AE152"/>
      <c r="AF152"/>
      <c r="AG152"/>
      <c r="AH152"/>
      <c r="AI152"/>
      <c r="AJ152"/>
      <c r="AK152"/>
      <c r="AL152"/>
    </row>
    <row r="153" spans="6:38" x14ac:dyDescent="0.3">
      <c r="AE153"/>
      <c r="AF153"/>
      <c r="AG153"/>
      <c r="AH153"/>
      <c r="AI153"/>
      <c r="AJ153"/>
      <c r="AK153"/>
      <c r="AL153"/>
    </row>
    <row r="154" spans="6:38" x14ac:dyDescent="0.3">
      <c r="AE154"/>
      <c r="AF154"/>
      <c r="AG154"/>
      <c r="AH154"/>
      <c r="AI154"/>
      <c r="AJ154"/>
      <c r="AK154"/>
      <c r="AL154"/>
    </row>
    <row r="155" spans="6:38" x14ac:dyDescent="0.3">
      <c r="AE155"/>
      <c r="AF155"/>
      <c r="AG155"/>
      <c r="AH155"/>
      <c r="AI155"/>
      <c r="AJ155"/>
      <c r="AK155"/>
      <c r="AL155"/>
    </row>
    <row r="156" spans="6:38" x14ac:dyDescent="0.3">
      <c r="AE156"/>
      <c r="AF156"/>
      <c r="AG156"/>
      <c r="AH156"/>
      <c r="AI156"/>
      <c r="AJ156"/>
      <c r="AK156"/>
      <c r="AL156"/>
    </row>
    <row r="157" spans="6:38" x14ac:dyDescent="0.3">
      <c r="AE157"/>
      <c r="AF157"/>
      <c r="AG157"/>
      <c r="AH157"/>
      <c r="AI157"/>
      <c r="AJ157"/>
      <c r="AK157"/>
      <c r="AL157"/>
    </row>
    <row r="158" spans="6:38" x14ac:dyDescent="0.3">
      <c r="AE158"/>
      <c r="AF158"/>
      <c r="AG158"/>
      <c r="AH158"/>
      <c r="AI158"/>
      <c r="AJ158"/>
      <c r="AK158"/>
      <c r="AL158"/>
    </row>
    <row r="159" spans="6:38" x14ac:dyDescent="0.3">
      <c r="AE159"/>
      <c r="AF159"/>
      <c r="AG159"/>
      <c r="AH159"/>
      <c r="AI159"/>
      <c r="AJ159"/>
      <c r="AK159"/>
      <c r="AL159"/>
    </row>
    <row r="160" spans="6:38" x14ac:dyDescent="0.3">
      <c r="AE160"/>
      <c r="AF160"/>
      <c r="AG160"/>
      <c r="AH160"/>
      <c r="AI160"/>
      <c r="AJ160"/>
      <c r="AK160"/>
      <c r="AL160"/>
    </row>
    <row r="161" spans="31:38" x14ac:dyDescent="0.3">
      <c r="AE161"/>
      <c r="AF161"/>
      <c r="AG161"/>
      <c r="AH161"/>
      <c r="AI161"/>
      <c r="AJ161"/>
      <c r="AK161"/>
      <c r="AL161"/>
    </row>
    <row r="162" spans="31:38" x14ac:dyDescent="0.3">
      <c r="AE162"/>
      <c r="AF162"/>
      <c r="AG162"/>
      <c r="AH162"/>
      <c r="AI162"/>
      <c r="AJ162"/>
      <c r="AK162"/>
      <c r="AL162"/>
    </row>
    <row r="163" spans="31:38" x14ac:dyDescent="0.3">
      <c r="AE163"/>
      <c r="AF163"/>
      <c r="AG163"/>
      <c r="AH163"/>
      <c r="AI163"/>
      <c r="AJ163"/>
      <c r="AK163"/>
      <c r="AL163"/>
    </row>
    <row r="164" spans="31:38" x14ac:dyDescent="0.3">
      <c r="AE164"/>
      <c r="AF164"/>
      <c r="AG164"/>
      <c r="AH164"/>
      <c r="AI164"/>
      <c r="AJ164"/>
      <c r="AK164"/>
      <c r="AL164"/>
    </row>
    <row r="165" spans="31:38" x14ac:dyDescent="0.3">
      <c r="AE165"/>
      <c r="AF165"/>
      <c r="AG165"/>
      <c r="AH165"/>
      <c r="AI165"/>
      <c r="AJ165"/>
      <c r="AK165"/>
      <c r="AL165"/>
    </row>
    <row r="166" spans="31:38" x14ac:dyDescent="0.3">
      <c r="AE166"/>
      <c r="AF166"/>
      <c r="AG166"/>
      <c r="AH166"/>
      <c r="AI166"/>
      <c r="AJ166"/>
      <c r="AK166"/>
      <c r="AL166"/>
    </row>
    <row r="167" spans="31:38" x14ac:dyDescent="0.3">
      <c r="AE167"/>
      <c r="AF167"/>
      <c r="AG167"/>
      <c r="AH167"/>
      <c r="AI167"/>
      <c r="AJ167"/>
      <c r="AK167"/>
      <c r="AL167"/>
    </row>
    <row r="168" spans="31:38" x14ac:dyDescent="0.3">
      <c r="AE168"/>
      <c r="AF168"/>
      <c r="AG168"/>
      <c r="AH168"/>
      <c r="AI168"/>
      <c r="AJ168"/>
      <c r="AK168"/>
      <c r="AL168"/>
    </row>
    <row r="169" spans="31:38" x14ac:dyDescent="0.3">
      <c r="AE169"/>
      <c r="AF169"/>
      <c r="AG169"/>
      <c r="AH169"/>
      <c r="AI169"/>
      <c r="AJ169"/>
      <c r="AK169"/>
      <c r="AL169"/>
    </row>
    <row r="170" spans="31:38" x14ac:dyDescent="0.3">
      <c r="AE170"/>
      <c r="AF170"/>
      <c r="AG170"/>
      <c r="AH170"/>
      <c r="AI170"/>
      <c r="AJ170"/>
      <c r="AK170"/>
      <c r="AL170"/>
    </row>
    <row r="171" spans="31:38" x14ac:dyDescent="0.3">
      <c r="AE171"/>
      <c r="AF171"/>
      <c r="AG171"/>
      <c r="AH171"/>
      <c r="AI171"/>
      <c r="AJ171"/>
      <c r="AK171"/>
      <c r="AL171"/>
    </row>
    <row r="172" spans="31:38" x14ac:dyDescent="0.3">
      <c r="AE172"/>
      <c r="AF172"/>
      <c r="AG172"/>
      <c r="AH172"/>
      <c r="AI172"/>
      <c r="AJ172"/>
      <c r="AK172"/>
      <c r="AL172"/>
    </row>
    <row r="173" spans="31:38" x14ac:dyDescent="0.3">
      <c r="AE173"/>
      <c r="AF173"/>
      <c r="AG173"/>
      <c r="AH173"/>
      <c r="AI173"/>
      <c r="AJ173"/>
      <c r="AK173"/>
      <c r="AL173"/>
    </row>
    <row r="174" spans="31:38" x14ac:dyDescent="0.3">
      <c r="AE174"/>
      <c r="AF174"/>
      <c r="AG174"/>
      <c r="AH174"/>
      <c r="AI174"/>
      <c r="AJ174"/>
      <c r="AK174"/>
      <c r="AL174"/>
    </row>
    <row r="175" spans="31:38" x14ac:dyDescent="0.3">
      <c r="AE175"/>
      <c r="AF175"/>
      <c r="AG175"/>
      <c r="AH175"/>
      <c r="AI175"/>
      <c r="AJ175"/>
      <c r="AK175"/>
      <c r="AL175"/>
    </row>
    <row r="176" spans="31:38" x14ac:dyDescent="0.3">
      <c r="AE176"/>
      <c r="AF176"/>
      <c r="AG176"/>
      <c r="AH176"/>
      <c r="AI176"/>
      <c r="AJ176"/>
      <c r="AK176"/>
      <c r="AL176"/>
    </row>
    <row r="177" spans="31:38" x14ac:dyDescent="0.3">
      <c r="AE177"/>
      <c r="AF177"/>
      <c r="AG177"/>
      <c r="AH177"/>
      <c r="AI177"/>
      <c r="AJ177"/>
      <c r="AK177"/>
      <c r="AL177"/>
    </row>
    <row r="178" spans="31:38" x14ac:dyDescent="0.3">
      <c r="AE178"/>
      <c r="AF178"/>
      <c r="AG178"/>
      <c r="AH178"/>
      <c r="AI178"/>
      <c r="AJ178"/>
      <c r="AK178"/>
      <c r="AL178"/>
    </row>
    <row r="179" spans="31:38" x14ac:dyDescent="0.3">
      <c r="AE179"/>
      <c r="AF179"/>
      <c r="AG179"/>
      <c r="AH179"/>
      <c r="AI179"/>
      <c r="AJ179"/>
      <c r="AK179"/>
      <c r="AL179"/>
    </row>
    <row r="180" spans="31:38" x14ac:dyDescent="0.3">
      <c r="AE180"/>
      <c r="AF180"/>
      <c r="AG180"/>
      <c r="AH180"/>
      <c r="AI180"/>
      <c r="AJ180"/>
      <c r="AK180"/>
      <c r="AL180"/>
    </row>
    <row r="181" spans="31:38" x14ac:dyDescent="0.3">
      <c r="AE181"/>
      <c r="AF181"/>
      <c r="AG181"/>
      <c r="AH181"/>
      <c r="AI181"/>
      <c r="AJ181"/>
      <c r="AK181"/>
      <c r="AL181"/>
    </row>
    <row r="182" spans="31:38" x14ac:dyDescent="0.3">
      <c r="AE182"/>
      <c r="AF182"/>
      <c r="AG182"/>
      <c r="AH182"/>
      <c r="AI182"/>
      <c r="AJ182"/>
      <c r="AK182"/>
      <c r="AL182"/>
    </row>
    <row r="183" spans="31:38" x14ac:dyDescent="0.3">
      <c r="AE183"/>
      <c r="AF183"/>
      <c r="AG183"/>
      <c r="AH183"/>
      <c r="AI183"/>
      <c r="AJ183"/>
      <c r="AK183"/>
      <c r="AL183"/>
    </row>
    <row r="184" spans="31:38" x14ac:dyDescent="0.3">
      <c r="AE184"/>
      <c r="AF184"/>
      <c r="AG184"/>
      <c r="AH184"/>
      <c r="AI184"/>
      <c r="AJ184"/>
      <c r="AK184"/>
      <c r="AL184"/>
    </row>
    <row r="185" spans="31:38" x14ac:dyDescent="0.3">
      <c r="AE185"/>
      <c r="AF185"/>
      <c r="AG185"/>
      <c r="AH185"/>
      <c r="AI185"/>
      <c r="AJ185"/>
      <c r="AK185"/>
      <c r="AL185"/>
    </row>
    <row r="186" spans="31:38" x14ac:dyDescent="0.3">
      <c r="AE186"/>
      <c r="AF186"/>
      <c r="AG186"/>
      <c r="AH186"/>
      <c r="AI186"/>
      <c r="AJ186"/>
      <c r="AK186"/>
      <c r="AL186"/>
    </row>
    <row r="187" spans="31:38" x14ac:dyDescent="0.3">
      <c r="AE187"/>
      <c r="AF187"/>
      <c r="AG187"/>
      <c r="AH187"/>
      <c r="AI187"/>
      <c r="AJ187"/>
      <c r="AK187"/>
      <c r="AL187"/>
    </row>
    <row r="188" spans="31:38" x14ac:dyDescent="0.3">
      <c r="AE188"/>
      <c r="AF188"/>
      <c r="AG188"/>
      <c r="AH188"/>
      <c r="AI188"/>
      <c r="AJ188"/>
      <c r="AK188"/>
      <c r="AL188"/>
    </row>
    <row r="189" spans="31:38" x14ac:dyDescent="0.3">
      <c r="AE189"/>
      <c r="AF189"/>
      <c r="AG189"/>
      <c r="AH189"/>
      <c r="AI189"/>
      <c r="AJ189"/>
      <c r="AK189"/>
      <c r="AL189"/>
    </row>
    <row r="190" spans="31:38" x14ac:dyDescent="0.3">
      <c r="AE190"/>
      <c r="AF190"/>
      <c r="AG190"/>
      <c r="AH190"/>
      <c r="AI190"/>
      <c r="AJ190"/>
      <c r="AK190"/>
      <c r="AL190"/>
    </row>
    <row r="191" spans="31:38" x14ac:dyDescent="0.3">
      <c r="AE191"/>
      <c r="AF191"/>
      <c r="AG191"/>
      <c r="AH191"/>
      <c r="AI191"/>
      <c r="AJ191"/>
      <c r="AK191"/>
      <c r="AL191"/>
    </row>
    <row r="192" spans="31:38" x14ac:dyDescent="0.3">
      <c r="AE192"/>
      <c r="AF192"/>
      <c r="AG192"/>
      <c r="AH192"/>
      <c r="AI192"/>
      <c r="AJ192"/>
      <c r="AK192"/>
      <c r="AL192"/>
    </row>
    <row r="193" spans="31:38" x14ac:dyDescent="0.3">
      <c r="AE193"/>
      <c r="AF193"/>
      <c r="AG193"/>
      <c r="AH193"/>
      <c r="AI193"/>
      <c r="AJ193"/>
      <c r="AK193"/>
      <c r="AL193"/>
    </row>
    <row r="194" spans="31:38" x14ac:dyDescent="0.3">
      <c r="AE194"/>
      <c r="AF194"/>
      <c r="AG194"/>
      <c r="AH194"/>
      <c r="AI194"/>
      <c r="AJ194"/>
      <c r="AK194"/>
      <c r="AL194"/>
    </row>
    <row r="195" spans="31:38" x14ac:dyDescent="0.3">
      <c r="AE195"/>
      <c r="AF195"/>
      <c r="AG195"/>
      <c r="AH195"/>
      <c r="AI195"/>
      <c r="AJ195"/>
      <c r="AK195"/>
      <c r="AL195"/>
    </row>
    <row r="196" spans="31:38" x14ac:dyDescent="0.3">
      <c r="AE196"/>
      <c r="AF196"/>
      <c r="AG196"/>
      <c r="AH196"/>
      <c r="AI196"/>
      <c r="AJ196"/>
      <c r="AK196"/>
      <c r="AL196"/>
    </row>
    <row r="197" spans="31:38" x14ac:dyDescent="0.3">
      <c r="AE197"/>
      <c r="AF197"/>
      <c r="AG197"/>
      <c r="AH197"/>
      <c r="AI197"/>
      <c r="AJ197"/>
      <c r="AK197"/>
      <c r="AL197"/>
    </row>
    <row r="198" spans="31:38" x14ac:dyDescent="0.3">
      <c r="AE198"/>
      <c r="AF198"/>
      <c r="AG198"/>
      <c r="AH198"/>
      <c r="AI198"/>
      <c r="AJ198"/>
      <c r="AK198"/>
      <c r="AL198"/>
    </row>
    <row r="199" spans="31:38" x14ac:dyDescent="0.3">
      <c r="AE199"/>
      <c r="AF199"/>
      <c r="AG199"/>
      <c r="AH199"/>
      <c r="AI199"/>
      <c r="AJ199"/>
      <c r="AK199"/>
      <c r="AL199"/>
    </row>
    <row r="200" spans="31:38" x14ac:dyDescent="0.3">
      <c r="AE200"/>
      <c r="AF200"/>
      <c r="AG200"/>
      <c r="AH200"/>
      <c r="AI200"/>
      <c r="AJ200"/>
      <c r="AK200"/>
      <c r="AL200"/>
    </row>
    <row r="201" spans="31:38" x14ac:dyDescent="0.3">
      <c r="AE201"/>
      <c r="AF201"/>
      <c r="AG201"/>
      <c r="AH201"/>
      <c r="AI201"/>
      <c r="AJ201"/>
      <c r="AK201"/>
      <c r="AL201"/>
    </row>
    <row r="202" spans="31:38" x14ac:dyDescent="0.3">
      <c r="AE202"/>
      <c r="AF202"/>
      <c r="AG202"/>
      <c r="AH202"/>
      <c r="AI202"/>
      <c r="AJ202"/>
      <c r="AK202"/>
      <c r="AL202"/>
    </row>
    <row r="203" spans="31:38" x14ac:dyDescent="0.3">
      <c r="AE203"/>
      <c r="AF203"/>
      <c r="AG203"/>
      <c r="AH203"/>
      <c r="AI203"/>
      <c r="AJ203"/>
      <c r="AK203"/>
      <c r="AL203"/>
    </row>
    <row r="204" spans="31:38" x14ac:dyDescent="0.3">
      <c r="AE204"/>
      <c r="AF204"/>
      <c r="AG204"/>
      <c r="AH204"/>
      <c r="AI204"/>
      <c r="AJ204"/>
      <c r="AK204"/>
      <c r="AL204"/>
    </row>
    <row r="205" spans="31:38" x14ac:dyDescent="0.3">
      <c r="AE205"/>
      <c r="AF205"/>
      <c r="AG205"/>
      <c r="AH205"/>
      <c r="AI205"/>
      <c r="AJ205"/>
      <c r="AK205"/>
      <c r="AL205"/>
    </row>
    <row r="206" spans="31:38" x14ac:dyDescent="0.3">
      <c r="AE206"/>
      <c r="AF206"/>
      <c r="AG206"/>
      <c r="AH206"/>
      <c r="AI206"/>
      <c r="AJ206"/>
      <c r="AK206"/>
      <c r="AL206"/>
    </row>
    <row r="207" spans="31:38" x14ac:dyDescent="0.3">
      <c r="AE207"/>
      <c r="AF207"/>
      <c r="AG207"/>
      <c r="AH207"/>
      <c r="AI207"/>
      <c r="AJ207"/>
      <c r="AK207"/>
      <c r="AL207"/>
    </row>
    <row r="208" spans="31:38" x14ac:dyDescent="0.3">
      <c r="AE208"/>
      <c r="AF208"/>
      <c r="AG208"/>
      <c r="AH208"/>
      <c r="AI208"/>
      <c r="AJ208"/>
      <c r="AK208"/>
      <c r="AL208"/>
    </row>
    <row r="209" spans="31:38" x14ac:dyDescent="0.3">
      <c r="AE209"/>
      <c r="AF209"/>
      <c r="AG209"/>
      <c r="AH209"/>
      <c r="AI209"/>
      <c r="AJ209"/>
      <c r="AK209"/>
      <c r="AL209"/>
    </row>
    <row r="210" spans="31:38" x14ac:dyDescent="0.3">
      <c r="AE210"/>
      <c r="AF210"/>
      <c r="AG210"/>
      <c r="AH210"/>
      <c r="AI210"/>
      <c r="AJ210"/>
      <c r="AK210"/>
      <c r="AL210"/>
    </row>
    <row r="211" spans="31:38" x14ac:dyDescent="0.3">
      <c r="AE211"/>
      <c r="AF211"/>
      <c r="AG211"/>
      <c r="AH211"/>
      <c r="AI211"/>
      <c r="AJ211"/>
      <c r="AK211"/>
      <c r="AL211"/>
    </row>
    <row r="212" spans="31:38" x14ac:dyDescent="0.3">
      <c r="AE212"/>
      <c r="AF212"/>
      <c r="AG212"/>
      <c r="AH212"/>
      <c r="AI212"/>
      <c r="AJ212"/>
      <c r="AK212"/>
      <c r="AL212"/>
    </row>
    <row r="213" spans="31:38" x14ac:dyDescent="0.3">
      <c r="AE213"/>
      <c r="AF213"/>
      <c r="AG213"/>
      <c r="AH213"/>
      <c r="AI213"/>
      <c r="AJ213"/>
      <c r="AK213"/>
      <c r="AL213"/>
    </row>
    <row r="214" spans="31:38" x14ac:dyDescent="0.3">
      <c r="AE214"/>
      <c r="AF214"/>
      <c r="AG214"/>
      <c r="AH214"/>
      <c r="AI214"/>
      <c r="AJ214"/>
      <c r="AK214"/>
      <c r="AL214"/>
    </row>
    <row r="215" spans="31:38" x14ac:dyDescent="0.3">
      <c r="AE215"/>
      <c r="AF215"/>
      <c r="AG215"/>
      <c r="AH215"/>
      <c r="AI215"/>
      <c r="AJ215"/>
      <c r="AK215"/>
      <c r="AL215"/>
    </row>
    <row r="216" spans="31:38" x14ac:dyDescent="0.3">
      <c r="AE216"/>
      <c r="AF216"/>
      <c r="AG216"/>
      <c r="AH216"/>
      <c r="AI216"/>
      <c r="AJ216"/>
      <c r="AK216"/>
      <c r="AL216"/>
    </row>
    <row r="217" spans="31:38" x14ac:dyDescent="0.3">
      <c r="AE217"/>
      <c r="AF217"/>
      <c r="AG217"/>
      <c r="AH217"/>
      <c r="AI217"/>
      <c r="AJ217"/>
      <c r="AK217"/>
      <c r="AL217"/>
    </row>
    <row r="218" spans="31:38" x14ac:dyDescent="0.3">
      <c r="AE218"/>
      <c r="AF218"/>
      <c r="AG218"/>
      <c r="AH218"/>
      <c r="AI218"/>
      <c r="AJ218"/>
      <c r="AK218"/>
      <c r="AL218"/>
    </row>
    <row r="219" spans="31:38" x14ac:dyDescent="0.3">
      <c r="AE219"/>
      <c r="AF219"/>
      <c r="AG219"/>
      <c r="AH219"/>
      <c r="AI219"/>
      <c r="AJ219"/>
      <c r="AK219"/>
      <c r="AL219"/>
    </row>
    <row r="220" spans="31:38" x14ac:dyDescent="0.3">
      <c r="AE220"/>
      <c r="AF220"/>
      <c r="AG220"/>
      <c r="AH220"/>
      <c r="AI220"/>
      <c r="AJ220"/>
      <c r="AK220"/>
      <c r="AL220"/>
    </row>
    <row r="221" spans="31:38" x14ac:dyDescent="0.3">
      <c r="AE221"/>
      <c r="AF221"/>
      <c r="AG221"/>
      <c r="AH221"/>
      <c r="AI221"/>
      <c r="AJ221"/>
      <c r="AK221"/>
      <c r="AL221"/>
    </row>
    <row r="222" spans="31:38" x14ac:dyDescent="0.3">
      <c r="AE222"/>
      <c r="AF222"/>
      <c r="AG222"/>
      <c r="AH222"/>
      <c r="AI222"/>
      <c r="AJ222"/>
      <c r="AK222"/>
      <c r="AL222"/>
    </row>
    <row r="223" spans="31:38" x14ac:dyDescent="0.3">
      <c r="AE223"/>
      <c r="AF223"/>
      <c r="AG223"/>
      <c r="AH223"/>
      <c r="AI223"/>
      <c r="AJ223"/>
      <c r="AK223"/>
      <c r="AL223"/>
    </row>
    <row r="224" spans="31:38" x14ac:dyDescent="0.3">
      <c r="AE224"/>
      <c r="AF224"/>
      <c r="AG224"/>
      <c r="AH224"/>
      <c r="AI224"/>
      <c r="AJ224"/>
      <c r="AK224"/>
      <c r="AL224"/>
    </row>
    <row r="225" spans="31:38" x14ac:dyDescent="0.3">
      <c r="AE225"/>
      <c r="AF225"/>
      <c r="AG225"/>
      <c r="AH225"/>
      <c r="AI225"/>
      <c r="AJ225"/>
      <c r="AK225"/>
      <c r="AL225"/>
    </row>
    <row r="226" spans="31:38" x14ac:dyDescent="0.3">
      <c r="AE226"/>
      <c r="AF226"/>
      <c r="AG226"/>
      <c r="AH226"/>
      <c r="AI226"/>
      <c r="AJ226"/>
      <c r="AK226"/>
      <c r="AL226"/>
    </row>
    <row r="227" spans="31:38" x14ac:dyDescent="0.3">
      <c r="AE227"/>
      <c r="AF227"/>
      <c r="AG227"/>
      <c r="AH227"/>
      <c r="AI227"/>
      <c r="AJ227"/>
      <c r="AK227"/>
      <c r="AL227"/>
    </row>
    <row r="228" spans="31:38" x14ac:dyDescent="0.3">
      <c r="AE228"/>
      <c r="AF228"/>
      <c r="AG228"/>
      <c r="AH228"/>
      <c r="AI228"/>
      <c r="AJ228"/>
      <c r="AK228"/>
      <c r="AL228"/>
    </row>
    <row r="229" spans="31:38" x14ac:dyDescent="0.3">
      <c r="AE229"/>
      <c r="AF229"/>
      <c r="AG229"/>
      <c r="AH229"/>
      <c r="AI229"/>
      <c r="AJ229"/>
      <c r="AK229"/>
      <c r="AL229"/>
    </row>
    <row r="230" spans="31:38" x14ac:dyDescent="0.3">
      <c r="AE230"/>
      <c r="AF230"/>
      <c r="AG230"/>
      <c r="AH230"/>
      <c r="AI230"/>
      <c r="AJ230"/>
      <c r="AK230"/>
      <c r="AL230"/>
    </row>
    <row r="231" spans="31:38" x14ac:dyDescent="0.3">
      <c r="AE231"/>
      <c r="AF231"/>
      <c r="AG231"/>
      <c r="AH231"/>
      <c r="AI231"/>
      <c r="AJ231"/>
      <c r="AK231"/>
      <c r="AL231"/>
    </row>
    <row r="232" spans="31:38" x14ac:dyDescent="0.3">
      <c r="AE232"/>
      <c r="AF232"/>
      <c r="AG232"/>
      <c r="AH232"/>
      <c r="AI232"/>
      <c r="AJ232"/>
      <c r="AK232"/>
      <c r="AL232"/>
    </row>
    <row r="233" spans="31:38" x14ac:dyDescent="0.3">
      <c r="AE233"/>
      <c r="AF233"/>
      <c r="AG233"/>
      <c r="AH233"/>
      <c r="AI233"/>
      <c r="AJ233"/>
      <c r="AK233"/>
      <c r="AL233"/>
    </row>
    <row r="234" spans="31:38" x14ac:dyDescent="0.3">
      <c r="AE234"/>
      <c r="AF234"/>
      <c r="AG234"/>
      <c r="AH234"/>
      <c r="AI234"/>
      <c r="AJ234"/>
      <c r="AK234"/>
      <c r="AL234"/>
    </row>
    <row r="235" spans="31:38" x14ac:dyDescent="0.3">
      <c r="AE235"/>
      <c r="AF235"/>
      <c r="AG235"/>
      <c r="AH235"/>
      <c r="AI235"/>
      <c r="AJ235"/>
      <c r="AK235"/>
      <c r="AL235"/>
    </row>
    <row r="236" spans="31:38" x14ac:dyDescent="0.3">
      <c r="AE236"/>
      <c r="AF236"/>
      <c r="AG236"/>
      <c r="AH236"/>
      <c r="AI236"/>
      <c r="AJ236"/>
      <c r="AK236"/>
      <c r="AL236"/>
    </row>
    <row r="237" spans="31:38" x14ac:dyDescent="0.3">
      <c r="AE237"/>
      <c r="AF237"/>
      <c r="AG237"/>
      <c r="AH237"/>
      <c r="AI237"/>
      <c r="AJ237"/>
      <c r="AK237"/>
      <c r="AL237"/>
    </row>
    <row r="238" spans="31:38" x14ac:dyDescent="0.3">
      <c r="AE238"/>
      <c r="AF238"/>
      <c r="AG238"/>
      <c r="AH238"/>
      <c r="AI238"/>
      <c r="AJ238"/>
      <c r="AK238"/>
      <c r="AL238"/>
    </row>
    <row r="239" spans="31:38" x14ac:dyDescent="0.3">
      <c r="AE239"/>
      <c r="AF239"/>
      <c r="AG239"/>
      <c r="AH239"/>
      <c r="AI239"/>
      <c r="AJ239"/>
      <c r="AK239"/>
      <c r="AL239"/>
    </row>
    <row r="240" spans="31:38" x14ac:dyDescent="0.3">
      <c r="AE240"/>
      <c r="AF240"/>
      <c r="AG240"/>
      <c r="AH240"/>
      <c r="AI240"/>
      <c r="AJ240"/>
      <c r="AK240"/>
      <c r="AL240"/>
    </row>
    <row r="241" spans="31:38" x14ac:dyDescent="0.3">
      <c r="AE241"/>
      <c r="AF241"/>
      <c r="AG241"/>
      <c r="AH241"/>
      <c r="AI241"/>
      <c r="AJ241"/>
      <c r="AK241"/>
      <c r="AL241"/>
    </row>
    <row r="242" spans="31:38" x14ac:dyDescent="0.3">
      <c r="AE242"/>
      <c r="AF242"/>
      <c r="AG242"/>
      <c r="AH242"/>
      <c r="AI242"/>
      <c r="AJ242"/>
      <c r="AK242"/>
      <c r="AL242"/>
    </row>
    <row r="243" spans="31:38" x14ac:dyDescent="0.3">
      <c r="AE243"/>
      <c r="AF243"/>
      <c r="AG243"/>
      <c r="AH243"/>
      <c r="AI243"/>
      <c r="AJ243"/>
      <c r="AK243"/>
      <c r="AL243"/>
    </row>
    <row r="244" spans="31:38" x14ac:dyDescent="0.3">
      <c r="AE244"/>
      <c r="AF244"/>
      <c r="AG244"/>
      <c r="AH244"/>
      <c r="AI244"/>
      <c r="AJ244"/>
      <c r="AK244"/>
      <c r="AL244"/>
    </row>
    <row r="245" spans="31:38" x14ac:dyDescent="0.3">
      <c r="AE245"/>
      <c r="AF245"/>
      <c r="AG245"/>
      <c r="AH245"/>
      <c r="AI245"/>
      <c r="AJ245"/>
      <c r="AK245"/>
      <c r="AL245"/>
    </row>
    <row r="246" spans="31:38" x14ac:dyDescent="0.3">
      <c r="AE246"/>
      <c r="AF246"/>
      <c r="AG246"/>
      <c r="AH246"/>
      <c r="AI246"/>
      <c r="AJ246"/>
      <c r="AK246"/>
      <c r="AL246"/>
    </row>
    <row r="247" spans="31:38" x14ac:dyDescent="0.3">
      <c r="AE247"/>
      <c r="AF247"/>
      <c r="AG247"/>
      <c r="AH247"/>
      <c r="AI247"/>
      <c r="AJ247"/>
      <c r="AK247"/>
      <c r="AL247"/>
    </row>
    <row r="248" spans="31:38" x14ac:dyDescent="0.3">
      <c r="AE248"/>
      <c r="AF248"/>
      <c r="AG248"/>
      <c r="AH248"/>
      <c r="AI248"/>
      <c r="AJ248"/>
      <c r="AK248"/>
      <c r="AL248"/>
    </row>
    <row r="249" spans="31:38" x14ac:dyDescent="0.3">
      <c r="AE249"/>
      <c r="AF249"/>
      <c r="AG249"/>
      <c r="AH249"/>
      <c r="AI249"/>
      <c r="AJ249"/>
      <c r="AK249"/>
      <c r="AL249"/>
    </row>
    <row r="250" spans="31:38" x14ac:dyDescent="0.3">
      <c r="AE250"/>
      <c r="AF250"/>
      <c r="AG250"/>
      <c r="AH250"/>
      <c r="AI250"/>
      <c r="AJ250"/>
      <c r="AK250"/>
      <c r="AL250"/>
    </row>
    <row r="251" spans="31:38" x14ac:dyDescent="0.3">
      <c r="AE251"/>
      <c r="AF251"/>
      <c r="AG251"/>
      <c r="AH251"/>
      <c r="AI251"/>
      <c r="AJ251"/>
      <c r="AK251"/>
      <c r="AL251"/>
    </row>
    <row r="252" spans="31:38" x14ac:dyDescent="0.3">
      <c r="AE252"/>
      <c r="AF252"/>
      <c r="AG252"/>
      <c r="AH252"/>
      <c r="AI252"/>
      <c r="AJ252"/>
      <c r="AK252"/>
      <c r="AL252"/>
    </row>
    <row r="253" spans="31:38" x14ac:dyDescent="0.3">
      <c r="AE253"/>
      <c r="AF253"/>
      <c r="AG253"/>
      <c r="AH253"/>
      <c r="AI253"/>
      <c r="AJ253"/>
      <c r="AK253"/>
      <c r="AL253"/>
    </row>
    <row r="254" spans="31:38" x14ac:dyDescent="0.3">
      <c r="AE254"/>
      <c r="AF254"/>
      <c r="AG254"/>
      <c r="AH254"/>
      <c r="AI254"/>
      <c r="AJ254"/>
      <c r="AK254"/>
      <c r="AL254"/>
    </row>
    <row r="255" spans="31:38" x14ac:dyDescent="0.3">
      <c r="AE255"/>
      <c r="AF255"/>
      <c r="AG255"/>
      <c r="AH255"/>
      <c r="AI255"/>
      <c r="AJ255"/>
      <c r="AK255"/>
      <c r="AL255"/>
    </row>
    <row r="256" spans="31:38" x14ac:dyDescent="0.3">
      <c r="AE256"/>
      <c r="AF256"/>
      <c r="AG256"/>
      <c r="AH256"/>
      <c r="AI256"/>
      <c r="AJ256"/>
      <c r="AK256"/>
      <c r="AL256"/>
    </row>
    <row r="257" spans="31:38" x14ac:dyDescent="0.3">
      <c r="AE257"/>
      <c r="AF257"/>
      <c r="AG257"/>
      <c r="AH257"/>
      <c r="AI257"/>
      <c r="AJ257"/>
      <c r="AK257"/>
      <c r="AL257"/>
    </row>
    <row r="258" spans="31:38" x14ac:dyDescent="0.3">
      <c r="AE258"/>
      <c r="AF258"/>
      <c r="AG258"/>
      <c r="AH258"/>
      <c r="AI258"/>
      <c r="AJ258"/>
      <c r="AK258"/>
      <c r="AL258"/>
    </row>
    <row r="259" spans="31:38" x14ac:dyDescent="0.3">
      <c r="AE259"/>
      <c r="AF259"/>
      <c r="AG259"/>
      <c r="AH259"/>
      <c r="AI259"/>
      <c r="AJ259"/>
      <c r="AK259"/>
      <c r="AL259"/>
    </row>
    <row r="260" spans="31:38" x14ac:dyDescent="0.3">
      <c r="AE260"/>
      <c r="AF260"/>
      <c r="AG260"/>
      <c r="AH260"/>
      <c r="AI260"/>
      <c r="AJ260"/>
      <c r="AK260"/>
      <c r="AL260"/>
    </row>
    <row r="261" spans="31:38" x14ac:dyDescent="0.3">
      <c r="AE261"/>
      <c r="AF261"/>
      <c r="AG261"/>
      <c r="AH261"/>
      <c r="AI261"/>
      <c r="AJ261"/>
      <c r="AK261"/>
      <c r="AL261"/>
    </row>
    <row r="262" spans="31:38" x14ac:dyDescent="0.3">
      <c r="AE262"/>
      <c r="AF262"/>
      <c r="AG262"/>
      <c r="AH262"/>
      <c r="AI262"/>
      <c r="AJ262"/>
      <c r="AK262"/>
      <c r="AL262"/>
    </row>
    <row r="263" spans="31:38" x14ac:dyDescent="0.3">
      <c r="AE263"/>
      <c r="AF263"/>
      <c r="AG263"/>
      <c r="AH263"/>
      <c r="AI263"/>
      <c r="AJ263"/>
      <c r="AK263"/>
      <c r="AL263"/>
    </row>
    <row r="264" spans="31:38" x14ac:dyDescent="0.3">
      <c r="AE264"/>
      <c r="AF264"/>
      <c r="AG264"/>
      <c r="AH264"/>
      <c r="AI264"/>
      <c r="AJ264"/>
      <c r="AK264"/>
      <c r="AL264"/>
    </row>
    <row r="265" spans="31:38" x14ac:dyDescent="0.3">
      <c r="AE265"/>
      <c r="AF265"/>
      <c r="AG265"/>
      <c r="AH265"/>
      <c r="AI265"/>
      <c r="AJ265"/>
      <c r="AK265"/>
      <c r="AL265"/>
    </row>
    <row r="266" spans="31:38" x14ac:dyDescent="0.3">
      <c r="AE266"/>
      <c r="AF266"/>
      <c r="AG266"/>
      <c r="AH266"/>
      <c r="AI266"/>
      <c r="AJ266"/>
      <c r="AK266"/>
      <c r="AL266"/>
    </row>
    <row r="267" spans="31:38" x14ac:dyDescent="0.3">
      <c r="AE267"/>
      <c r="AF267"/>
      <c r="AG267"/>
      <c r="AH267"/>
      <c r="AI267"/>
      <c r="AJ267"/>
      <c r="AK267"/>
      <c r="AL267"/>
    </row>
    <row r="268" spans="31:38" x14ac:dyDescent="0.3">
      <c r="AE268"/>
      <c r="AF268"/>
      <c r="AG268"/>
      <c r="AH268"/>
      <c r="AI268"/>
      <c r="AJ268"/>
      <c r="AK268"/>
      <c r="AL268"/>
    </row>
    <row r="269" spans="31:38" x14ac:dyDescent="0.3">
      <c r="AE269"/>
      <c r="AF269"/>
      <c r="AG269"/>
      <c r="AH269"/>
      <c r="AI269"/>
      <c r="AJ269"/>
      <c r="AK269"/>
      <c r="AL269"/>
    </row>
    <row r="270" spans="31:38" x14ac:dyDescent="0.3">
      <c r="AE270"/>
      <c r="AF270"/>
      <c r="AG270"/>
      <c r="AH270"/>
      <c r="AI270"/>
      <c r="AJ270"/>
      <c r="AK270"/>
      <c r="AL270"/>
    </row>
    <row r="271" spans="31:38" x14ac:dyDescent="0.3">
      <c r="AE271"/>
      <c r="AF271"/>
      <c r="AG271"/>
      <c r="AH271"/>
      <c r="AI271"/>
      <c r="AJ271"/>
      <c r="AK271"/>
      <c r="AL271"/>
    </row>
    <row r="272" spans="31:38" x14ac:dyDescent="0.3">
      <c r="AE272"/>
      <c r="AF272"/>
      <c r="AG272"/>
      <c r="AH272"/>
      <c r="AI272"/>
      <c r="AJ272"/>
      <c r="AK272"/>
      <c r="AL272"/>
    </row>
    <row r="273" spans="31:38" x14ac:dyDescent="0.3">
      <c r="AE273"/>
      <c r="AF273"/>
      <c r="AG273"/>
      <c r="AH273"/>
      <c r="AI273"/>
      <c r="AJ273"/>
      <c r="AK273"/>
      <c r="AL273"/>
    </row>
    <row r="274" spans="31:38" x14ac:dyDescent="0.3">
      <c r="AE274"/>
      <c r="AF274"/>
      <c r="AG274"/>
      <c r="AH274"/>
      <c r="AI274"/>
      <c r="AJ274"/>
      <c r="AK274"/>
      <c r="AL274"/>
    </row>
    <row r="275" spans="31:38" x14ac:dyDescent="0.3">
      <c r="AE275"/>
      <c r="AF275"/>
      <c r="AG275"/>
      <c r="AH275"/>
      <c r="AI275"/>
      <c r="AJ275"/>
      <c r="AK275"/>
      <c r="AL275"/>
    </row>
    <row r="276" spans="31:38" x14ac:dyDescent="0.3">
      <c r="AE276"/>
      <c r="AF276"/>
      <c r="AG276"/>
      <c r="AH276"/>
      <c r="AI276"/>
      <c r="AJ276"/>
      <c r="AK276"/>
      <c r="AL276"/>
    </row>
    <row r="277" spans="31:38" x14ac:dyDescent="0.3">
      <c r="AE277"/>
      <c r="AF277"/>
      <c r="AG277"/>
      <c r="AH277"/>
      <c r="AI277"/>
      <c r="AJ277"/>
      <c r="AK277"/>
      <c r="AL277"/>
    </row>
    <row r="278" spans="31:38" x14ac:dyDescent="0.3">
      <c r="AE278"/>
      <c r="AF278"/>
      <c r="AG278"/>
      <c r="AH278"/>
      <c r="AI278"/>
      <c r="AJ278"/>
      <c r="AK278"/>
      <c r="AL278"/>
    </row>
    <row r="279" spans="31:38" x14ac:dyDescent="0.3">
      <c r="AE279"/>
      <c r="AF279"/>
      <c r="AG279"/>
      <c r="AH279"/>
      <c r="AI279"/>
      <c r="AJ279"/>
      <c r="AK279"/>
      <c r="AL279"/>
    </row>
    <row r="280" spans="31:38" x14ac:dyDescent="0.3">
      <c r="AE280"/>
      <c r="AF280"/>
      <c r="AG280"/>
      <c r="AH280"/>
      <c r="AI280"/>
      <c r="AJ280"/>
      <c r="AK280"/>
      <c r="AL280"/>
    </row>
    <row r="281" spans="31:38" x14ac:dyDescent="0.3">
      <c r="AE281"/>
      <c r="AF281"/>
      <c r="AG281"/>
      <c r="AH281"/>
      <c r="AI281"/>
      <c r="AJ281"/>
      <c r="AK281"/>
      <c r="AL281"/>
    </row>
    <row r="282" spans="31:38" x14ac:dyDescent="0.3">
      <c r="AE282"/>
      <c r="AF282"/>
      <c r="AG282"/>
      <c r="AH282"/>
      <c r="AI282"/>
      <c r="AJ282"/>
      <c r="AK282"/>
      <c r="AL282"/>
    </row>
    <row r="283" spans="31:38" x14ac:dyDescent="0.3">
      <c r="AE283"/>
      <c r="AF283"/>
      <c r="AG283"/>
      <c r="AH283"/>
      <c r="AI283"/>
      <c r="AJ283"/>
      <c r="AK283"/>
      <c r="AL283"/>
    </row>
    <row r="284" spans="31:38" x14ac:dyDescent="0.3">
      <c r="AE284"/>
      <c r="AF284"/>
      <c r="AG284"/>
      <c r="AH284"/>
      <c r="AI284"/>
      <c r="AJ284"/>
      <c r="AK284"/>
      <c r="AL284"/>
    </row>
    <row r="285" spans="31:38" x14ac:dyDescent="0.3">
      <c r="AE285"/>
      <c r="AF285"/>
      <c r="AG285"/>
      <c r="AH285"/>
      <c r="AI285"/>
      <c r="AJ285"/>
      <c r="AK285"/>
      <c r="AL285"/>
    </row>
    <row r="286" spans="31:38" x14ac:dyDescent="0.3">
      <c r="AE286"/>
      <c r="AF286"/>
      <c r="AG286"/>
      <c r="AH286"/>
      <c r="AI286"/>
      <c r="AJ286"/>
      <c r="AK286"/>
      <c r="AL286"/>
    </row>
    <row r="287" spans="31:38" x14ac:dyDescent="0.3">
      <c r="AE287"/>
      <c r="AF287"/>
      <c r="AG287"/>
      <c r="AH287"/>
      <c r="AI287"/>
      <c r="AJ287"/>
      <c r="AK287"/>
      <c r="AL287"/>
    </row>
    <row r="288" spans="31:38" x14ac:dyDescent="0.3">
      <c r="AE288"/>
      <c r="AF288"/>
      <c r="AG288"/>
      <c r="AH288"/>
      <c r="AI288"/>
      <c r="AJ288"/>
      <c r="AK288"/>
      <c r="AL288"/>
    </row>
    <row r="289" spans="31:38" x14ac:dyDescent="0.3">
      <c r="AE289"/>
      <c r="AF289"/>
      <c r="AG289"/>
      <c r="AH289"/>
      <c r="AI289"/>
      <c r="AJ289"/>
      <c r="AK289"/>
      <c r="AL289"/>
    </row>
    <row r="290" spans="31:38" x14ac:dyDescent="0.3">
      <c r="AE290"/>
      <c r="AF290"/>
      <c r="AG290"/>
      <c r="AH290"/>
      <c r="AI290"/>
      <c r="AJ290"/>
      <c r="AK290"/>
      <c r="AL290"/>
    </row>
    <row r="291" spans="31:38" x14ac:dyDescent="0.3">
      <c r="AE291"/>
      <c r="AF291"/>
      <c r="AG291"/>
      <c r="AH291"/>
      <c r="AI291"/>
      <c r="AJ291"/>
      <c r="AK291"/>
      <c r="AL291"/>
    </row>
    <row r="292" spans="31:38" x14ac:dyDescent="0.3">
      <c r="AE292"/>
      <c r="AF292"/>
      <c r="AG292"/>
      <c r="AH292"/>
      <c r="AI292"/>
      <c r="AJ292"/>
      <c r="AK292"/>
      <c r="AL292"/>
    </row>
    <row r="293" spans="31:38" x14ac:dyDescent="0.3">
      <c r="AE293"/>
      <c r="AF293"/>
      <c r="AG293"/>
      <c r="AH293"/>
      <c r="AI293"/>
      <c r="AJ293"/>
      <c r="AK293"/>
      <c r="AL293"/>
    </row>
    <row r="294" spans="31:38" x14ac:dyDescent="0.3">
      <c r="AE294"/>
      <c r="AF294"/>
      <c r="AG294"/>
      <c r="AH294"/>
      <c r="AI294"/>
      <c r="AJ294"/>
      <c r="AK294"/>
      <c r="AL294"/>
    </row>
    <row r="295" spans="31:38" x14ac:dyDescent="0.3">
      <c r="AE295"/>
      <c r="AF295"/>
      <c r="AG295"/>
      <c r="AH295"/>
      <c r="AI295"/>
      <c r="AJ295"/>
      <c r="AK295"/>
      <c r="AL295"/>
    </row>
    <row r="296" spans="31:38" x14ac:dyDescent="0.3">
      <c r="AE296"/>
      <c r="AF296"/>
      <c r="AG296"/>
      <c r="AH296"/>
      <c r="AI296"/>
      <c r="AJ296"/>
      <c r="AK296"/>
      <c r="AL296"/>
    </row>
    <row r="297" spans="31:38" x14ac:dyDescent="0.3">
      <c r="AE297"/>
      <c r="AF297"/>
      <c r="AG297"/>
      <c r="AH297"/>
      <c r="AI297"/>
      <c r="AJ297"/>
      <c r="AK297"/>
      <c r="AL297"/>
    </row>
    <row r="298" spans="31:38" x14ac:dyDescent="0.3">
      <c r="AE298"/>
      <c r="AF298"/>
      <c r="AG298"/>
      <c r="AH298"/>
      <c r="AI298"/>
      <c r="AJ298"/>
      <c r="AK298"/>
      <c r="AL298"/>
    </row>
    <row r="299" spans="31:38" x14ac:dyDescent="0.3">
      <c r="AE299"/>
      <c r="AF299"/>
      <c r="AG299"/>
      <c r="AH299"/>
      <c r="AI299"/>
      <c r="AJ299"/>
      <c r="AK299"/>
      <c r="AL299"/>
    </row>
    <row r="300" spans="31:38" x14ac:dyDescent="0.3">
      <c r="AE300"/>
      <c r="AF300"/>
      <c r="AG300"/>
      <c r="AH300"/>
      <c r="AI300"/>
      <c r="AJ300"/>
      <c r="AK300"/>
      <c r="AL300"/>
    </row>
    <row r="301" spans="31:38" x14ac:dyDescent="0.3">
      <c r="AE301"/>
      <c r="AF301"/>
      <c r="AG301"/>
      <c r="AH301"/>
      <c r="AI301"/>
      <c r="AJ301"/>
      <c r="AK301"/>
      <c r="AL301"/>
    </row>
    <row r="302" spans="31:38" x14ac:dyDescent="0.3">
      <c r="AE302"/>
      <c r="AF302"/>
      <c r="AG302"/>
      <c r="AH302"/>
      <c r="AI302"/>
      <c r="AJ302"/>
      <c r="AK302"/>
      <c r="AL302"/>
    </row>
    <row r="303" spans="31:38" x14ac:dyDescent="0.3">
      <c r="AE303"/>
      <c r="AF303"/>
      <c r="AG303"/>
      <c r="AH303"/>
      <c r="AI303"/>
      <c r="AJ303"/>
      <c r="AK303"/>
      <c r="AL303"/>
    </row>
    <row r="304" spans="31:38" x14ac:dyDescent="0.3">
      <c r="AE304"/>
      <c r="AF304"/>
      <c r="AG304"/>
      <c r="AH304"/>
      <c r="AI304"/>
      <c r="AJ304"/>
      <c r="AK304"/>
      <c r="AL304"/>
    </row>
    <row r="305" spans="31:38" x14ac:dyDescent="0.3">
      <c r="AE305"/>
      <c r="AF305"/>
      <c r="AG305"/>
      <c r="AH305"/>
      <c r="AI305"/>
      <c r="AJ305"/>
      <c r="AK305"/>
      <c r="AL305"/>
    </row>
    <row r="306" spans="31:38" x14ac:dyDescent="0.3">
      <c r="AE306"/>
      <c r="AF306"/>
      <c r="AG306"/>
      <c r="AH306"/>
      <c r="AI306"/>
      <c r="AJ306"/>
      <c r="AK306"/>
      <c r="AL306"/>
    </row>
    <row r="307" spans="31:38" x14ac:dyDescent="0.3">
      <c r="AE307"/>
      <c r="AF307"/>
      <c r="AG307"/>
      <c r="AH307"/>
      <c r="AI307"/>
      <c r="AJ307"/>
      <c r="AK307"/>
      <c r="AL307"/>
    </row>
    <row r="308" spans="31:38" x14ac:dyDescent="0.3">
      <c r="AE308"/>
      <c r="AF308"/>
      <c r="AG308"/>
      <c r="AH308"/>
      <c r="AI308"/>
      <c r="AJ308"/>
      <c r="AK308"/>
      <c r="AL308"/>
    </row>
    <row r="309" spans="31:38" x14ac:dyDescent="0.3">
      <c r="AE309"/>
      <c r="AF309"/>
      <c r="AG309"/>
      <c r="AH309"/>
      <c r="AI309"/>
      <c r="AJ309"/>
      <c r="AK309"/>
      <c r="AL309"/>
    </row>
    <row r="310" spans="31:38" x14ac:dyDescent="0.3">
      <c r="AE310"/>
      <c r="AF310"/>
      <c r="AG310"/>
      <c r="AH310"/>
      <c r="AI310"/>
      <c r="AJ310"/>
      <c r="AK310"/>
      <c r="AL310"/>
    </row>
    <row r="311" spans="31:38" x14ac:dyDescent="0.3">
      <c r="AE311"/>
      <c r="AF311"/>
      <c r="AG311"/>
      <c r="AH311"/>
      <c r="AI311"/>
      <c r="AJ311"/>
      <c r="AK311"/>
      <c r="AL311"/>
    </row>
    <row r="312" spans="31:38" x14ac:dyDescent="0.3">
      <c r="AE312"/>
      <c r="AF312"/>
      <c r="AG312"/>
      <c r="AH312"/>
      <c r="AI312"/>
      <c r="AJ312"/>
      <c r="AK312"/>
      <c r="AL312"/>
    </row>
    <row r="313" spans="31:38" x14ac:dyDescent="0.3">
      <c r="AE313"/>
      <c r="AF313"/>
      <c r="AG313"/>
      <c r="AH313"/>
      <c r="AI313"/>
      <c r="AJ313"/>
      <c r="AK313"/>
      <c r="AL313"/>
    </row>
    <row r="314" spans="31:38" x14ac:dyDescent="0.3">
      <c r="AE314"/>
      <c r="AF314"/>
      <c r="AG314"/>
      <c r="AH314"/>
      <c r="AI314"/>
      <c r="AJ314"/>
      <c r="AK314"/>
      <c r="AL314"/>
    </row>
    <row r="315" spans="31:38" x14ac:dyDescent="0.3">
      <c r="AE315"/>
      <c r="AF315"/>
      <c r="AG315"/>
      <c r="AH315"/>
      <c r="AI315"/>
      <c r="AJ315"/>
      <c r="AK315"/>
      <c r="AL315"/>
    </row>
    <row r="316" spans="31:38" x14ac:dyDescent="0.3">
      <c r="AE316"/>
      <c r="AF316"/>
      <c r="AG316"/>
      <c r="AH316"/>
      <c r="AI316"/>
      <c r="AJ316"/>
      <c r="AK316"/>
      <c r="AL316"/>
    </row>
    <row r="317" spans="31:38" x14ac:dyDescent="0.3">
      <c r="AE317"/>
      <c r="AF317"/>
      <c r="AG317"/>
      <c r="AH317"/>
      <c r="AI317"/>
      <c r="AJ317"/>
      <c r="AK317"/>
      <c r="AL317"/>
    </row>
    <row r="318" spans="31:38" x14ac:dyDescent="0.3">
      <c r="AE318"/>
      <c r="AF318"/>
      <c r="AG318"/>
      <c r="AH318"/>
      <c r="AI318"/>
      <c r="AJ318"/>
      <c r="AK318"/>
      <c r="AL318"/>
    </row>
    <row r="319" spans="31:38" x14ac:dyDescent="0.3">
      <c r="AE319"/>
      <c r="AF319"/>
      <c r="AG319"/>
      <c r="AH319"/>
      <c r="AI319"/>
      <c r="AJ319"/>
      <c r="AK319"/>
      <c r="AL319"/>
    </row>
    <row r="320" spans="31:38" x14ac:dyDescent="0.3">
      <c r="AE320"/>
      <c r="AF320"/>
      <c r="AG320"/>
      <c r="AH320"/>
      <c r="AI320"/>
      <c r="AJ320"/>
      <c r="AK320"/>
      <c r="AL320"/>
    </row>
    <row r="321" spans="31:38" x14ac:dyDescent="0.3">
      <c r="AE321"/>
      <c r="AF321"/>
      <c r="AG321"/>
      <c r="AH321"/>
      <c r="AI321"/>
      <c r="AJ321"/>
      <c r="AK321"/>
      <c r="AL321"/>
    </row>
    <row r="322" spans="31:38" x14ac:dyDescent="0.3">
      <c r="AE322"/>
      <c r="AF322"/>
      <c r="AG322"/>
      <c r="AH322"/>
      <c r="AI322"/>
      <c r="AJ322"/>
      <c r="AK322"/>
      <c r="AL322"/>
    </row>
    <row r="323" spans="31:38" x14ac:dyDescent="0.3">
      <c r="AE323"/>
      <c r="AF323"/>
      <c r="AG323"/>
      <c r="AH323"/>
      <c r="AI323"/>
      <c r="AJ323"/>
      <c r="AK323"/>
      <c r="AL323"/>
    </row>
    <row r="324" spans="31:38" x14ac:dyDescent="0.3">
      <c r="AE324"/>
      <c r="AF324"/>
      <c r="AG324"/>
      <c r="AH324"/>
      <c r="AI324"/>
      <c r="AJ324"/>
      <c r="AK324"/>
      <c r="AL324"/>
    </row>
    <row r="325" spans="31:38" x14ac:dyDescent="0.3">
      <c r="AE325"/>
      <c r="AF325"/>
      <c r="AG325"/>
      <c r="AH325"/>
      <c r="AI325"/>
      <c r="AJ325"/>
      <c r="AK325"/>
      <c r="AL325"/>
    </row>
    <row r="326" spans="31:38" x14ac:dyDescent="0.3">
      <c r="AE326"/>
      <c r="AF326"/>
      <c r="AG326"/>
      <c r="AH326"/>
      <c r="AI326"/>
      <c r="AJ326"/>
      <c r="AK326"/>
      <c r="AL326"/>
    </row>
    <row r="327" spans="31:38" x14ac:dyDescent="0.3">
      <c r="AE327"/>
      <c r="AF327"/>
      <c r="AG327"/>
      <c r="AH327"/>
      <c r="AI327"/>
      <c r="AJ327"/>
      <c r="AK327"/>
      <c r="AL327"/>
    </row>
    <row r="328" spans="31:38" x14ac:dyDescent="0.3">
      <c r="AE328"/>
      <c r="AF328"/>
      <c r="AG328"/>
      <c r="AH328"/>
      <c r="AI328"/>
      <c r="AJ328"/>
      <c r="AK328"/>
      <c r="AL328"/>
    </row>
  </sheetData>
  <phoneticPr fontId="6" type="noConversion"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4214-85DF-4873-9947-F366D06782BD}">
  <dimension ref="A1:AN30"/>
  <sheetViews>
    <sheetView tabSelected="1" topLeftCell="G1" zoomScale="55" zoomScaleNormal="55" workbookViewId="0">
      <selection activeCell="AG29" sqref="AG29"/>
    </sheetView>
  </sheetViews>
  <sheetFormatPr defaultRowHeight="14.4" x14ac:dyDescent="0.3"/>
  <cols>
    <col min="1" max="1" width="12.5546875" bestFit="1" customWidth="1"/>
    <col min="2" max="2" width="16.21875" style="2" bestFit="1" customWidth="1"/>
    <col min="3" max="3" width="16.21875" bestFit="1" customWidth="1"/>
    <col min="4" max="7" width="12" bestFit="1" customWidth="1"/>
    <col min="8" max="8" width="12" style="2" bestFit="1" customWidth="1"/>
    <col min="9" max="9" width="7.44140625" bestFit="1" customWidth="1"/>
    <col min="10" max="10" width="3.21875" customWidth="1"/>
    <col min="11" max="11" width="24.5546875" style="2" bestFit="1" customWidth="1"/>
    <col min="12" max="12" width="9.6640625" bestFit="1" customWidth="1"/>
    <col min="13" max="13" width="2.109375" customWidth="1"/>
    <col min="14" max="14" width="22" style="14" bestFit="1" customWidth="1"/>
    <col min="15" max="15" width="9.6640625" bestFit="1" customWidth="1"/>
    <col min="17" max="17" width="15.33203125" bestFit="1" customWidth="1"/>
    <col min="20" max="20" width="12.6640625" bestFit="1" customWidth="1"/>
    <col min="21" max="21" width="20.6640625" bestFit="1" customWidth="1"/>
    <col min="22" max="22" width="21.33203125" bestFit="1" customWidth="1"/>
    <col min="23" max="23" width="18.44140625" bestFit="1" customWidth="1"/>
    <col min="24" max="24" width="14.6640625" bestFit="1" customWidth="1"/>
    <col min="25" max="25" width="9.21875" customWidth="1"/>
    <col min="29" max="29" width="10.5546875" bestFit="1" customWidth="1"/>
    <col min="33" max="33" width="15.33203125" bestFit="1" customWidth="1"/>
    <col min="34" max="34" width="12.77734375" bestFit="1" customWidth="1"/>
    <col min="36" max="36" width="10.33203125" customWidth="1"/>
    <col min="37" max="37" width="10.77734375" customWidth="1"/>
    <col min="38" max="38" width="10.88671875" customWidth="1"/>
    <col min="40" max="40" width="9.44140625" bestFit="1" customWidth="1"/>
  </cols>
  <sheetData>
    <row r="1" spans="1:40" ht="28.8" x14ac:dyDescent="0.3">
      <c r="T1" s="46" t="s">
        <v>185</v>
      </c>
      <c r="U1" s="39" t="s">
        <v>7</v>
      </c>
      <c r="V1" s="39" t="s">
        <v>8</v>
      </c>
      <c r="W1" s="39" t="s">
        <v>9</v>
      </c>
      <c r="X1" s="40" t="s">
        <v>169</v>
      </c>
      <c r="Z1" s="28"/>
      <c r="AA1" s="28" t="s">
        <v>166</v>
      </c>
      <c r="AB1" s="28"/>
      <c r="AC1" s="28"/>
      <c r="AD1" s="58" t="s">
        <v>167</v>
      </c>
      <c r="AJ1" s="47" t="s">
        <v>186</v>
      </c>
      <c r="AK1" s="47" t="s">
        <v>187</v>
      </c>
      <c r="AL1" s="47" t="s">
        <v>188</v>
      </c>
      <c r="AM1" s="47" t="s">
        <v>189</v>
      </c>
      <c r="AN1" s="47" t="s">
        <v>190</v>
      </c>
    </row>
    <row r="2" spans="1:40" x14ac:dyDescent="0.3">
      <c r="A2" s="2" t="s">
        <v>81</v>
      </c>
      <c r="B2" s="2" t="s">
        <v>82</v>
      </c>
      <c r="C2" s="2" t="s">
        <v>86</v>
      </c>
      <c r="D2" s="2"/>
      <c r="E2" s="2"/>
      <c r="F2" t="s">
        <v>99</v>
      </c>
      <c r="G2" t="s">
        <v>83</v>
      </c>
      <c r="H2" s="2" t="s">
        <v>82</v>
      </c>
      <c r="I2" t="s">
        <v>86</v>
      </c>
      <c r="K2" s="2" t="s">
        <v>84</v>
      </c>
      <c r="L2" s="2" t="s">
        <v>86</v>
      </c>
      <c r="N2" s="14" t="s">
        <v>85</v>
      </c>
      <c r="O2" s="14" t="s">
        <v>86</v>
      </c>
      <c r="Q2" t="s">
        <v>1</v>
      </c>
      <c r="T2" s="41">
        <v>0</v>
      </c>
      <c r="U2" s="38">
        <f ca="1">($R$3/$AA$28)*AA2</f>
        <v>13431.574074074073</v>
      </c>
      <c r="V2" s="38">
        <f ca="1">($R$4/$AD$28)*AD2</f>
        <v>3505.9415787917492</v>
      </c>
      <c r="W2" s="38">
        <v>3879.7939999999999</v>
      </c>
      <c r="X2" s="42">
        <f ca="1">SUM(U2:W2)</f>
        <v>20817.309652865821</v>
      </c>
      <c r="Z2" s="59">
        <v>0</v>
      </c>
      <c r="AA2" s="60">
        <v>10</v>
      </c>
      <c r="AB2" s="28"/>
      <c r="AC2" s="59">
        <v>0</v>
      </c>
      <c r="AD2" s="60">
        <v>5</v>
      </c>
      <c r="AG2" t="s">
        <v>1</v>
      </c>
      <c r="AH2" t="s">
        <v>182</v>
      </c>
      <c r="AJ2" s="48" t="s">
        <v>191</v>
      </c>
      <c r="AK2" s="49">
        <v>21825.55</v>
      </c>
      <c r="AL2" s="49">
        <v>7260.23</v>
      </c>
      <c r="AM2" s="49">
        <v>2885.79</v>
      </c>
      <c r="AN2" s="49">
        <v>32875</v>
      </c>
    </row>
    <row r="3" spans="1:40" x14ac:dyDescent="0.3">
      <c r="A3" s="2">
        <v>1</v>
      </c>
      <c r="B3" s="14">
        <f>SUMIF('STUDY AREA 1'!H:H,"SIMULTANEOUS MAXIMUM DEMAND",'STUDY AREA 1'!S:S)/1.3</f>
        <v>5136.8955625804938</v>
      </c>
      <c r="C3" s="2" t="s">
        <v>77</v>
      </c>
      <c r="D3" s="2"/>
      <c r="E3" s="2"/>
      <c r="F3">
        <v>1</v>
      </c>
      <c r="G3">
        <v>11</v>
      </c>
      <c r="H3" s="14">
        <f>'STUDY AREA 1'!P23</f>
        <v>1616.5807537309522</v>
      </c>
      <c r="I3" t="s">
        <v>77</v>
      </c>
      <c r="K3" s="14">
        <f>SUM(Table2[LOAD SIZE])/1.2</f>
        <v>13960.142986769697</v>
      </c>
      <c r="L3" s="14" t="s">
        <v>77</v>
      </c>
      <c r="N3" s="14">
        <f>SUM(K:K,H:H)/1.1</f>
        <v>27093.303975757291</v>
      </c>
      <c r="O3" s="14" t="s">
        <v>77</v>
      </c>
      <c r="Q3" t="s">
        <v>7</v>
      </c>
      <c r="R3">
        <f ca="1">SUM('STUDY AREA 1'!AC6,'STUDY AREA 2'!AC6,'STUDY AREA 3'!AC6,'STUDY AREA 4'!AC6)</f>
        <v>36265.25</v>
      </c>
      <c r="T3" s="41">
        <v>4.1666666666666664E-2</v>
      </c>
      <c r="U3" s="38">
        <f ca="1">($R$3/$AA$28)*AA3</f>
        <v>12088.416666666666</v>
      </c>
      <c r="V3" s="38">
        <f ca="1">($R$4/$AD$28)*AD3</f>
        <v>2804.7532630333994</v>
      </c>
      <c r="W3" s="38">
        <v>3879.7939999999999</v>
      </c>
      <c r="X3" s="42">
        <f t="shared" ref="X3:X25" ca="1" si="0">SUM(U3:W3)</f>
        <v>18772.963929700065</v>
      </c>
      <c r="Z3" s="59">
        <v>4.1666666666666664E-2</v>
      </c>
      <c r="AA3" s="60">
        <v>9</v>
      </c>
      <c r="AB3" s="28"/>
      <c r="AC3" s="59">
        <v>4.1666666666666664E-2</v>
      </c>
      <c r="AD3" s="60">
        <v>4</v>
      </c>
      <c r="AG3" t="s">
        <v>7</v>
      </c>
      <c r="AH3" s="29">
        <v>36265.25</v>
      </c>
      <c r="AJ3" s="48" t="s">
        <v>192</v>
      </c>
      <c r="AK3" s="49">
        <v>19713.400000000001</v>
      </c>
      <c r="AL3" s="49">
        <v>6557.78</v>
      </c>
      <c r="AM3" s="49">
        <v>2606.52</v>
      </c>
      <c r="AN3" s="49">
        <v>29694</v>
      </c>
    </row>
    <row r="4" spans="1:40" x14ac:dyDescent="0.3">
      <c r="A4" s="2">
        <v>2</v>
      </c>
      <c r="B4" s="14">
        <f>SUMIF('STUDY AREA 2'!H:H,"SIMULTANEOUS MAXIMUM DEMAND",'STUDY AREA 2'!S:S)/1.3</f>
        <v>4325.1364008898254</v>
      </c>
      <c r="C4" s="2" t="s">
        <v>77</v>
      </c>
      <c r="D4" s="2"/>
      <c r="E4" s="2"/>
      <c r="F4">
        <v>1</v>
      </c>
      <c r="G4">
        <v>12</v>
      </c>
      <c r="H4" s="14">
        <f>'STUDY AREA 1'!P64</f>
        <v>1562.6947286065868</v>
      </c>
      <c r="I4" t="s">
        <v>77</v>
      </c>
      <c r="K4" s="14" t="s">
        <v>183</v>
      </c>
      <c r="L4" s="14"/>
      <c r="Q4" t="s">
        <v>8</v>
      </c>
      <c r="R4" s="16">
        <f ca="1">SUM('STUDY AREA 1'!AC7,'STUDY AREA 2'!AC7,'STUDY AREA 3'!AC7,'STUDY AREA 4'!AC7,H3:H4,H7:H10)</f>
        <v>30151.097577609042</v>
      </c>
      <c r="T4" s="41">
        <v>8.3333333333333329E-2</v>
      </c>
      <c r="U4" s="38">
        <f t="shared" ref="U4:U25" ca="1" si="1">($R$3/$AA$28)*AA4</f>
        <v>10745.259259259259</v>
      </c>
      <c r="V4" s="38">
        <f t="shared" ref="V4:V25" ca="1" si="2">($R$4/$AD$28)*AD4</f>
        <v>2804.7532630333994</v>
      </c>
      <c r="W4" s="38">
        <v>3879.7939999999999</v>
      </c>
      <c r="X4" s="42">
        <f t="shared" ca="1" si="0"/>
        <v>17429.80652229266</v>
      </c>
      <c r="Z4" s="59">
        <v>8.3333333333333329E-2</v>
      </c>
      <c r="AA4" s="60">
        <v>8</v>
      </c>
      <c r="AB4" s="28"/>
      <c r="AC4" s="59">
        <v>8.3333333333333329E-2</v>
      </c>
      <c r="AD4" s="60">
        <v>4</v>
      </c>
      <c r="AG4" t="s">
        <v>8</v>
      </c>
      <c r="AH4" s="29">
        <v>30151.097577609042</v>
      </c>
      <c r="AJ4" s="48" t="s">
        <v>193</v>
      </c>
      <c r="AK4" s="49">
        <v>21825.55</v>
      </c>
      <c r="AL4" s="49">
        <v>7260.23</v>
      </c>
      <c r="AM4" s="49">
        <v>2885.79</v>
      </c>
      <c r="AN4" s="49">
        <v>32875</v>
      </c>
    </row>
    <row r="5" spans="1:40" x14ac:dyDescent="0.3">
      <c r="A5" s="2">
        <v>3</v>
      </c>
      <c r="B5" s="14">
        <f>SUMIF('STUDY AREA 3'!H:H,"SIMULTANEOUS MAXIMUM DEMAND",'STUDY AREA 3'!S:S)/1.3</f>
        <v>3263.3825079030553</v>
      </c>
      <c r="C5" s="2" t="s">
        <v>77</v>
      </c>
      <c r="D5" s="2"/>
      <c r="E5" s="2"/>
      <c r="F5">
        <v>2</v>
      </c>
      <c r="G5">
        <v>21</v>
      </c>
      <c r="H5" s="14">
        <f>'STUDY AREA 2'!P23</f>
        <v>2020.72594216369</v>
      </c>
      <c r="I5" t="s">
        <v>77</v>
      </c>
      <c r="Q5" t="s">
        <v>9</v>
      </c>
      <c r="R5" s="16">
        <f ca="1">SUM('STUDY AREA 1'!AC8,'STUDY AREA 2'!AC8,'STUDY AREA 3'!AC8,'STUDY AREA 4'!AC8,H5:H6)</f>
        <v>3879.7938089542849</v>
      </c>
      <c r="T5" s="41">
        <v>0.125</v>
      </c>
      <c r="U5" s="38">
        <f t="shared" ca="1" si="1"/>
        <v>10745.259259259259</v>
      </c>
      <c r="V5" s="38">
        <f t="shared" ca="1" si="2"/>
        <v>2103.5649472750497</v>
      </c>
      <c r="W5" s="38">
        <v>3879.7939999999999</v>
      </c>
      <c r="X5" s="42">
        <f t="shared" ca="1" si="0"/>
        <v>16728.618206534309</v>
      </c>
      <c r="Z5" s="59">
        <v>0.125</v>
      </c>
      <c r="AA5" s="60">
        <v>8</v>
      </c>
      <c r="AB5" s="28"/>
      <c r="AC5" s="59">
        <v>0.125</v>
      </c>
      <c r="AD5" s="60">
        <v>3</v>
      </c>
      <c r="AG5" t="s">
        <v>9</v>
      </c>
      <c r="AH5" s="29">
        <v>3879.7938089542849</v>
      </c>
      <c r="AJ5" s="48" t="s">
        <v>194</v>
      </c>
      <c r="AK5" s="49">
        <v>21121.4</v>
      </c>
      <c r="AL5" s="49">
        <v>7026</v>
      </c>
      <c r="AM5" s="49">
        <v>2792.7</v>
      </c>
      <c r="AN5" s="49">
        <v>31814</v>
      </c>
    </row>
    <row r="6" spans="1:40" x14ac:dyDescent="0.3">
      <c r="A6" s="2">
        <v>4</v>
      </c>
      <c r="B6" s="14">
        <f>SUMIF('STUDY AREA 4'!H:H,"SIMULTANEOUS MAXIMUM DEMAND",'STUDY AREA 4'!S:S)/1.3</f>
        <v>4026.7571127502629</v>
      </c>
      <c r="C6" s="2" t="s">
        <v>77</v>
      </c>
      <c r="D6" s="2"/>
      <c r="E6" s="2"/>
      <c r="F6">
        <v>2</v>
      </c>
      <c r="G6">
        <v>22</v>
      </c>
      <c r="H6" s="14">
        <f>'STUDY AREA 2'!P111</f>
        <v>1859.067866790595</v>
      </c>
      <c r="I6" t="s">
        <v>77</v>
      </c>
      <c r="T6" s="41">
        <v>0.16666666666666666</v>
      </c>
      <c r="U6" s="38">
        <f t="shared" ca="1" si="1"/>
        <v>12088.416666666666</v>
      </c>
      <c r="V6" s="38">
        <f t="shared" ca="1" si="2"/>
        <v>2103.5649472750497</v>
      </c>
      <c r="W6" s="38">
        <v>3879.7939999999999</v>
      </c>
      <c r="X6" s="42">
        <f t="shared" ca="1" si="0"/>
        <v>18071.775613941718</v>
      </c>
      <c r="Z6" s="59">
        <v>0.16666666666666666</v>
      </c>
      <c r="AA6" s="60">
        <v>9</v>
      </c>
      <c r="AB6" s="28"/>
      <c r="AC6" s="59">
        <v>0.16666666666666666</v>
      </c>
      <c r="AD6" s="60">
        <v>3</v>
      </c>
      <c r="AJ6" s="48" t="s">
        <v>195</v>
      </c>
      <c r="AK6" s="49">
        <v>21825.55</v>
      </c>
      <c r="AL6" s="49">
        <v>7260.23</v>
      </c>
      <c r="AM6" s="49">
        <v>2885.79</v>
      </c>
      <c r="AN6" s="49">
        <v>32875</v>
      </c>
    </row>
    <row r="7" spans="1:40" x14ac:dyDescent="0.3">
      <c r="E7" s="2"/>
      <c r="F7">
        <v>3</v>
      </c>
      <c r="G7">
        <v>31</v>
      </c>
      <c r="H7" s="14">
        <f>'STUDY AREA 3'!P71</f>
        <v>2155.441004974602</v>
      </c>
      <c r="I7" t="s">
        <v>77</v>
      </c>
      <c r="T7" s="41">
        <v>0.20833333333333334</v>
      </c>
      <c r="U7" s="38">
        <f t="shared" ca="1" si="1"/>
        <v>13431.574074074073</v>
      </c>
      <c r="V7" s="38">
        <f t="shared" ca="1" si="2"/>
        <v>2804.7532630333994</v>
      </c>
      <c r="W7" s="38">
        <v>3879.7939999999999</v>
      </c>
      <c r="X7" s="42">
        <f t="shared" ca="1" si="0"/>
        <v>20116.12133710747</v>
      </c>
      <c r="Z7" s="59">
        <v>0.20833333333333334</v>
      </c>
      <c r="AA7" s="60">
        <v>10</v>
      </c>
      <c r="AB7" s="28"/>
      <c r="AC7" s="59">
        <v>0.20833333333333334</v>
      </c>
      <c r="AD7" s="60">
        <v>4</v>
      </c>
      <c r="AJ7" s="48" t="s">
        <v>196</v>
      </c>
      <c r="AK7" s="49">
        <v>21121.4</v>
      </c>
      <c r="AL7" s="49">
        <v>7026</v>
      </c>
      <c r="AM7" s="49">
        <v>2792.7</v>
      </c>
      <c r="AN7" s="49">
        <v>31814</v>
      </c>
    </row>
    <row r="8" spans="1:40" x14ac:dyDescent="0.3">
      <c r="E8" s="2"/>
      <c r="F8">
        <v>3</v>
      </c>
      <c r="G8">
        <v>32</v>
      </c>
      <c r="H8" s="14">
        <f>'STUDY AREA 3'!P96</f>
        <v>2317.0990803476975</v>
      </c>
      <c r="I8" t="s">
        <v>77</v>
      </c>
      <c r="T8" s="41">
        <v>0.25</v>
      </c>
      <c r="U8" s="38">
        <f t="shared" ca="1" si="1"/>
        <v>18804.203703703704</v>
      </c>
      <c r="V8" s="38">
        <f t="shared" ca="1" si="2"/>
        <v>7011.8831575834984</v>
      </c>
      <c r="W8" s="38">
        <v>3879.7939999999999</v>
      </c>
      <c r="X8" s="42">
        <f t="shared" ca="1" si="0"/>
        <v>29695.880861287202</v>
      </c>
      <c r="Z8" s="59">
        <v>0.25</v>
      </c>
      <c r="AA8" s="60">
        <v>14</v>
      </c>
      <c r="AB8" s="28"/>
      <c r="AC8" s="59">
        <v>0.25</v>
      </c>
      <c r="AD8" s="60">
        <v>10</v>
      </c>
      <c r="AJ8" s="48" t="s">
        <v>197</v>
      </c>
      <c r="AK8" s="49">
        <v>21825.55</v>
      </c>
      <c r="AL8" s="49">
        <v>7260.23</v>
      </c>
      <c r="AM8" s="49">
        <v>2885.79</v>
      </c>
      <c r="AN8" s="49">
        <v>32875</v>
      </c>
    </row>
    <row r="9" spans="1:40" x14ac:dyDescent="0.3">
      <c r="A9" s="2"/>
      <c r="E9" s="2"/>
      <c r="F9">
        <v>4</v>
      </c>
      <c r="G9">
        <v>41</v>
      </c>
      <c r="H9" s="14">
        <f>'STUDY AREA 4'!P7</f>
        <v>2155.441004974602</v>
      </c>
      <c r="I9" t="s">
        <v>77</v>
      </c>
      <c r="T9" s="41">
        <v>0.29166666666666669</v>
      </c>
      <c r="U9" s="38">
        <f t="shared" ca="1" si="1"/>
        <v>24176.833333333332</v>
      </c>
      <c r="V9" s="38">
        <f t="shared" ca="1" si="2"/>
        <v>14023.766315166997</v>
      </c>
      <c r="W9" s="38">
        <v>3879.7939999999999</v>
      </c>
      <c r="X9" s="42">
        <f t="shared" ca="1" si="0"/>
        <v>42080.393648500329</v>
      </c>
      <c r="Z9" s="59">
        <v>0.29166666666666669</v>
      </c>
      <c r="AA9" s="60">
        <v>18</v>
      </c>
      <c r="AB9" s="28"/>
      <c r="AC9" s="59">
        <v>0.29166666666666669</v>
      </c>
      <c r="AD9" s="60">
        <v>20</v>
      </c>
      <c r="AJ9" s="48" t="s">
        <v>198</v>
      </c>
      <c r="AK9" s="49">
        <v>21825.55</v>
      </c>
      <c r="AL9" s="49">
        <v>7260.23</v>
      </c>
      <c r="AM9" s="49">
        <v>2885.79</v>
      </c>
      <c r="AN9" s="49">
        <v>32875</v>
      </c>
    </row>
    <row r="10" spans="1:40" x14ac:dyDescent="0.3">
      <c r="A10" s="2"/>
      <c r="E10" s="2"/>
      <c r="F10">
        <v>4</v>
      </c>
      <c r="G10">
        <v>42</v>
      </c>
      <c r="H10" s="14">
        <f>'STUDY AREA 4'!P56</f>
        <v>2155.441004974602</v>
      </c>
      <c r="I10" t="s">
        <v>77</v>
      </c>
      <c r="T10" s="41">
        <v>0.33333333333333331</v>
      </c>
      <c r="U10" s="38">
        <f t="shared" ca="1" si="1"/>
        <v>26863.148148148146</v>
      </c>
      <c r="V10" s="38">
        <f t="shared" ca="1" si="2"/>
        <v>21035.649472750494</v>
      </c>
      <c r="W10" s="38">
        <v>3879.7939999999999</v>
      </c>
      <c r="X10" s="42">
        <f t="shared" ca="1" si="0"/>
        <v>51778.591620898638</v>
      </c>
      <c r="Z10" s="59">
        <v>0.33333333333333331</v>
      </c>
      <c r="AA10" s="60">
        <v>20</v>
      </c>
      <c r="AB10" s="28"/>
      <c r="AC10" s="59">
        <v>0.33333333333333331</v>
      </c>
      <c r="AD10" s="60">
        <v>30</v>
      </c>
      <c r="AJ10" s="48" t="s">
        <v>199</v>
      </c>
      <c r="AK10" s="49">
        <v>21121.4</v>
      </c>
      <c r="AL10" s="49">
        <v>7026</v>
      </c>
      <c r="AM10" s="49">
        <v>2792.7</v>
      </c>
      <c r="AN10" s="49">
        <v>31814</v>
      </c>
    </row>
    <row r="11" spans="1:40" x14ac:dyDescent="0.3">
      <c r="A11" s="2"/>
      <c r="T11" s="41">
        <v>0.375</v>
      </c>
      <c r="U11" s="38">
        <f t="shared" ca="1" si="1"/>
        <v>25519.990740740741</v>
      </c>
      <c r="V11" s="38">
        <f t="shared" ca="1" si="2"/>
        <v>24541.591051542244</v>
      </c>
      <c r="W11" s="38">
        <v>3879.7939999999999</v>
      </c>
      <c r="X11" s="42">
        <f t="shared" ca="1" si="0"/>
        <v>53941.37579228299</v>
      </c>
      <c r="Z11" s="59">
        <v>0.375</v>
      </c>
      <c r="AA11" s="60">
        <v>19</v>
      </c>
      <c r="AB11" s="28"/>
      <c r="AC11" s="59">
        <v>0.375</v>
      </c>
      <c r="AD11" s="60">
        <v>35</v>
      </c>
      <c r="AJ11" s="48" t="s">
        <v>200</v>
      </c>
      <c r="AK11" s="49">
        <v>21825.55</v>
      </c>
      <c r="AL11" s="49">
        <v>7260.23</v>
      </c>
      <c r="AM11" s="49">
        <v>2885.79</v>
      </c>
      <c r="AN11" s="49">
        <v>32875</v>
      </c>
    </row>
    <row r="12" spans="1:40" x14ac:dyDescent="0.3">
      <c r="A12" s="64" t="s">
        <v>203</v>
      </c>
      <c r="B12" t="s">
        <v>205</v>
      </c>
      <c r="C12" t="s">
        <v>206</v>
      </c>
      <c r="H12"/>
      <c r="T12" s="41">
        <v>0.41666666666666669</v>
      </c>
      <c r="U12" s="38">
        <f t="shared" ca="1" si="1"/>
        <v>22833.675925925927</v>
      </c>
      <c r="V12" s="38">
        <f t="shared" ca="1" si="2"/>
        <v>28047.532630333993</v>
      </c>
      <c r="W12" s="38">
        <v>3879.7939999999999</v>
      </c>
      <c r="X12" s="42">
        <f t="shared" ca="1" si="0"/>
        <v>54761.002556259926</v>
      </c>
      <c r="Z12" s="59">
        <v>0.41666666666666669</v>
      </c>
      <c r="AA12" s="60">
        <v>17</v>
      </c>
      <c r="AB12" s="28"/>
      <c r="AC12" s="59">
        <v>0.41666666666666669</v>
      </c>
      <c r="AD12" s="60">
        <v>40</v>
      </c>
      <c r="AJ12" s="48" t="s">
        <v>201</v>
      </c>
      <c r="AK12" s="49">
        <v>21121.4</v>
      </c>
      <c r="AL12" s="49">
        <v>7026</v>
      </c>
      <c r="AM12" s="49">
        <v>2792.7</v>
      </c>
      <c r="AN12" s="49">
        <v>31814</v>
      </c>
    </row>
    <row r="13" spans="1:40" x14ac:dyDescent="0.3">
      <c r="A13" s="4">
        <v>1</v>
      </c>
      <c r="B13">
        <v>3179.275482337539</v>
      </c>
      <c r="C13" s="16">
        <f>B13+B3</f>
        <v>8316.1710449180318</v>
      </c>
      <c r="H13"/>
      <c r="T13" s="41">
        <v>0.45833333333333331</v>
      </c>
      <c r="U13" s="38">
        <f t="shared" ca="1" si="1"/>
        <v>21490.518518518518</v>
      </c>
      <c r="V13" s="38">
        <f t="shared" ca="1" si="2"/>
        <v>29449.909261850695</v>
      </c>
      <c r="W13" s="38">
        <v>3879.7939999999999</v>
      </c>
      <c r="X13" s="42">
        <f t="shared" ca="1" si="0"/>
        <v>54820.221780369211</v>
      </c>
      <c r="Z13" s="59">
        <v>0.45833333333333331</v>
      </c>
      <c r="AA13" s="60">
        <v>16</v>
      </c>
      <c r="AB13" s="28"/>
      <c r="AC13" s="59">
        <v>0.45833333333333331</v>
      </c>
      <c r="AD13" s="60">
        <v>42</v>
      </c>
      <c r="AJ13" s="48" t="s">
        <v>202</v>
      </c>
      <c r="AK13" s="49">
        <v>21825.55</v>
      </c>
      <c r="AL13" s="49">
        <v>7260.23</v>
      </c>
      <c r="AM13" s="49">
        <v>2885.79</v>
      </c>
      <c r="AN13" s="49">
        <v>32875</v>
      </c>
    </row>
    <row r="14" spans="1:40" x14ac:dyDescent="0.3">
      <c r="A14" s="4">
        <v>2</v>
      </c>
      <c r="B14">
        <v>3879.7938089542849</v>
      </c>
      <c r="C14" s="16">
        <f t="shared" ref="C14:C16" si="3">B14+B4</f>
        <v>8204.9302098441112</v>
      </c>
      <c r="H14"/>
      <c r="T14" s="41">
        <v>0.5</v>
      </c>
      <c r="U14" s="38">
        <f t="shared" ca="1" si="1"/>
        <v>20147.361111111109</v>
      </c>
      <c r="V14" s="38">
        <f t="shared" ca="1" si="2"/>
        <v>30151.097577609045</v>
      </c>
      <c r="W14" s="38">
        <v>3879.7939999999999</v>
      </c>
      <c r="X14" s="42">
        <f t="shared" ca="1" si="0"/>
        <v>54178.25268872016</v>
      </c>
      <c r="Z14" s="59">
        <v>0.5</v>
      </c>
      <c r="AA14" s="60">
        <v>15</v>
      </c>
      <c r="AB14" s="28"/>
      <c r="AC14" s="59">
        <v>0.5</v>
      </c>
      <c r="AD14" s="60">
        <v>43</v>
      </c>
    </row>
    <row r="15" spans="1:40" x14ac:dyDescent="0.3">
      <c r="A15" s="4">
        <v>3</v>
      </c>
      <c r="B15">
        <v>4472.5400853223</v>
      </c>
      <c r="C15" s="16">
        <f t="shared" si="3"/>
        <v>7735.9225932253557</v>
      </c>
      <c r="H15"/>
      <c r="T15" s="41">
        <v>0.54166666666666663</v>
      </c>
      <c r="U15" s="38">
        <f t="shared" ca="1" si="1"/>
        <v>20147.361111111109</v>
      </c>
      <c r="V15" s="38">
        <f t="shared" ca="1" si="2"/>
        <v>29449.909261850695</v>
      </c>
      <c r="W15" s="38">
        <v>3879.7939999999999</v>
      </c>
      <c r="X15" s="42">
        <f t="shared" ca="1" si="0"/>
        <v>53477.06437296181</v>
      </c>
      <c r="Z15" s="59">
        <v>0.54166666666666663</v>
      </c>
      <c r="AA15" s="60">
        <v>15</v>
      </c>
      <c r="AB15" s="28"/>
      <c r="AC15" s="59">
        <v>0.54166666666666663</v>
      </c>
      <c r="AD15" s="60">
        <v>42</v>
      </c>
    </row>
    <row r="16" spans="1:40" x14ac:dyDescent="0.3">
      <c r="A16" s="4">
        <v>4</v>
      </c>
      <c r="B16">
        <v>4310.8820099492041</v>
      </c>
      <c r="C16" s="16">
        <f t="shared" si="3"/>
        <v>8337.6391226994674</v>
      </c>
      <c r="H16"/>
      <c r="T16" s="41">
        <v>0.58333333333333337</v>
      </c>
      <c r="U16" s="38">
        <f t="shared" ca="1" si="1"/>
        <v>20147.361111111109</v>
      </c>
      <c r="V16" s="38">
        <f t="shared" ca="1" si="2"/>
        <v>28047.532630333993</v>
      </c>
      <c r="W16" s="38">
        <v>3879.7939999999999</v>
      </c>
      <c r="X16" s="42">
        <f t="shared" ca="1" si="0"/>
        <v>52074.687741445108</v>
      </c>
      <c r="Z16" s="59">
        <v>0.58333333333333337</v>
      </c>
      <c r="AA16" s="60">
        <v>15</v>
      </c>
      <c r="AB16" s="28"/>
      <c r="AC16" s="59">
        <v>0.58333333333333337</v>
      </c>
      <c r="AD16" s="60">
        <v>40</v>
      </c>
    </row>
    <row r="17" spans="1:31" x14ac:dyDescent="0.3">
      <c r="A17" s="4" t="s">
        <v>204</v>
      </c>
      <c r="B17">
        <v>15842.491386563328</v>
      </c>
      <c r="H17"/>
      <c r="T17" s="41">
        <v>0.625</v>
      </c>
      <c r="U17" s="38">
        <f t="shared" ca="1" si="1"/>
        <v>21490.518518518518</v>
      </c>
      <c r="V17" s="38">
        <f t="shared" ca="1" si="2"/>
        <v>26645.155998817296</v>
      </c>
      <c r="W17" s="38">
        <v>3879.7939999999999</v>
      </c>
      <c r="X17" s="42">
        <f t="shared" ca="1" si="0"/>
        <v>52015.468517335816</v>
      </c>
      <c r="Z17" s="59">
        <v>0.625</v>
      </c>
      <c r="AA17" s="60">
        <v>16</v>
      </c>
      <c r="AB17" s="28"/>
      <c r="AC17" s="59">
        <v>0.625</v>
      </c>
      <c r="AD17" s="60">
        <v>38</v>
      </c>
    </row>
    <row r="18" spans="1:31" x14ac:dyDescent="0.3">
      <c r="B18"/>
      <c r="H18"/>
      <c r="T18" s="41">
        <v>0.66666666666666663</v>
      </c>
      <c r="U18" s="38">
        <f t="shared" ca="1" si="1"/>
        <v>24176.833333333332</v>
      </c>
      <c r="V18" s="38">
        <f t="shared" ca="1" si="2"/>
        <v>24541.591051542244</v>
      </c>
      <c r="W18" s="38">
        <v>3879.7939999999999</v>
      </c>
      <c r="X18" s="42">
        <f t="shared" ca="1" si="0"/>
        <v>52598.218384875574</v>
      </c>
      <c r="Z18" s="59">
        <v>0.66666666666666663</v>
      </c>
      <c r="AA18" s="60">
        <v>18</v>
      </c>
      <c r="AB18" s="28"/>
      <c r="AC18" s="59">
        <v>0.66666666666666663</v>
      </c>
      <c r="AD18" s="60">
        <v>35</v>
      </c>
    </row>
    <row r="19" spans="1:31" x14ac:dyDescent="0.3">
      <c r="B19"/>
      <c r="T19" s="41">
        <v>0.70833333333333337</v>
      </c>
      <c r="U19" s="38">
        <f t="shared" ca="1" si="1"/>
        <v>26863.148148148146</v>
      </c>
      <c r="V19" s="38">
        <f t="shared" ca="1" si="2"/>
        <v>21035.649472750494</v>
      </c>
      <c r="W19" s="38">
        <v>3879.7939999999999</v>
      </c>
      <c r="X19" s="42">
        <f t="shared" ca="1" si="0"/>
        <v>51778.591620898638</v>
      </c>
      <c r="Z19" s="59">
        <v>0.70833333333333337</v>
      </c>
      <c r="AA19" s="60">
        <v>20</v>
      </c>
      <c r="AB19" s="28"/>
      <c r="AC19" s="59">
        <v>0.70833333333333337</v>
      </c>
      <c r="AD19" s="60">
        <v>30</v>
      </c>
    </row>
    <row r="20" spans="1:31" x14ac:dyDescent="0.3">
      <c r="B20"/>
      <c r="D20" s="4">
        <v>1</v>
      </c>
      <c r="E20" s="16">
        <v>8316.1710449180318</v>
      </c>
      <c r="T20" s="41">
        <v>0.75</v>
      </c>
      <c r="U20" s="38">
        <f t="shared" ca="1" si="1"/>
        <v>29549.462962962964</v>
      </c>
      <c r="V20" s="38">
        <f t="shared" ca="1" si="2"/>
        <v>17529.707893958748</v>
      </c>
      <c r="W20" s="38">
        <v>3879.7939999999999</v>
      </c>
      <c r="X20" s="42">
        <f t="shared" ca="1" si="0"/>
        <v>50958.964856921717</v>
      </c>
      <c r="Z20" s="59">
        <v>0.75</v>
      </c>
      <c r="AA20" s="60">
        <v>22</v>
      </c>
      <c r="AB20" s="28"/>
      <c r="AC20" s="59">
        <v>0.75</v>
      </c>
      <c r="AD20" s="60">
        <v>25</v>
      </c>
    </row>
    <row r="21" spans="1:31" x14ac:dyDescent="0.3">
      <c r="B21"/>
      <c r="D21" s="4">
        <v>2</v>
      </c>
      <c r="E21" s="16">
        <v>8204.9302098441112</v>
      </c>
      <c r="T21" s="41">
        <v>0.79166666666666663</v>
      </c>
      <c r="U21" s="38">
        <f t="shared" ca="1" si="1"/>
        <v>33578.935185185182</v>
      </c>
      <c r="V21" s="38">
        <f t="shared" ca="1" si="2"/>
        <v>14023.766315166997</v>
      </c>
      <c r="W21" s="38">
        <v>3879.7939999999999</v>
      </c>
      <c r="X21" s="42">
        <f t="shared" ca="1" si="0"/>
        <v>51482.495500352183</v>
      </c>
      <c r="Z21" s="59">
        <v>0.79166666666666663</v>
      </c>
      <c r="AA21" s="60">
        <v>25</v>
      </c>
      <c r="AB21" s="28"/>
      <c r="AC21" s="59">
        <v>0.79166666666666663</v>
      </c>
      <c r="AD21" s="60">
        <v>20</v>
      </c>
    </row>
    <row r="22" spans="1:31" x14ac:dyDescent="0.3">
      <c r="B22"/>
      <c r="D22" s="4">
        <v>3</v>
      </c>
      <c r="E22" s="16">
        <v>7735.9225932253557</v>
      </c>
      <c r="T22" s="41">
        <v>0.83333333333333337</v>
      </c>
      <c r="U22" s="38">
        <f t="shared" ca="1" si="1"/>
        <v>36265.25</v>
      </c>
      <c r="V22" s="38">
        <f t="shared" ca="1" si="2"/>
        <v>10517.824736375247</v>
      </c>
      <c r="W22" s="38">
        <v>3879.7939999999999</v>
      </c>
      <c r="X22" s="42">
        <f t="shared" ca="1" si="0"/>
        <v>50662.868736375247</v>
      </c>
      <c r="Z22" s="59">
        <v>0.83333333333333337</v>
      </c>
      <c r="AA22" s="60">
        <v>27</v>
      </c>
      <c r="AB22" s="28"/>
      <c r="AC22" s="59">
        <v>0.83333333333333337</v>
      </c>
      <c r="AD22" s="60">
        <v>15</v>
      </c>
    </row>
    <row r="23" spans="1:31" x14ac:dyDescent="0.3">
      <c r="B23"/>
      <c r="D23" s="4">
        <v>4</v>
      </c>
      <c r="E23" s="16">
        <v>8337.6391226994674</v>
      </c>
      <c r="T23" s="41">
        <v>0.875</v>
      </c>
      <c r="U23" s="38">
        <f t="shared" ca="1" si="1"/>
        <v>34922.092592592591</v>
      </c>
      <c r="V23" s="38">
        <f t="shared" ca="1" si="2"/>
        <v>7011.8831575834984</v>
      </c>
      <c r="W23" s="38">
        <v>3879.7939999999999</v>
      </c>
      <c r="X23" s="42">
        <f t="shared" ca="1" si="0"/>
        <v>45813.769750176092</v>
      </c>
      <c r="Z23" s="59">
        <v>0.875</v>
      </c>
      <c r="AA23" s="60">
        <v>26</v>
      </c>
      <c r="AB23" s="28"/>
      <c r="AC23" s="59">
        <v>0.875</v>
      </c>
      <c r="AD23" s="60">
        <v>10</v>
      </c>
    </row>
    <row r="24" spans="1:31" x14ac:dyDescent="0.3">
      <c r="B24"/>
      <c r="T24" s="41">
        <v>0.91666666666666663</v>
      </c>
      <c r="U24" s="38">
        <f t="shared" ca="1" si="1"/>
        <v>29549.462962962964</v>
      </c>
      <c r="V24" s="38">
        <f t="shared" ca="1" si="2"/>
        <v>4207.1298945500994</v>
      </c>
      <c r="W24" s="38">
        <v>3879.7939999999999</v>
      </c>
      <c r="X24" s="42">
        <f t="shared" ca="1" si="0"/>
        <v>37636.386857513062</v>
      </c>
      <c r="Z24" s="59">
        <v>0.91666666666666663</v>
      </c>
      <c r="AA24" s="60">
        <v>22</v>
      </c>
      <c r="AB24" s="28"/>
      <c r="AC24" s="59">
        <v>0.91666666666666663</v>
      </c>
      <c r="AD24" s="60">
        <v>6</v>
      </c>
    </row>
    <row r="25" spans="1:31" ht="15" thickBot="1" x14ac:dyDescent="0.35">
      <c r="B25"/>
      <c r="T25" s="43">
        <v>0.95833333333333337</v>
      </c>
      <c r="U25" s="44">
        <f t="shared" ca="1" si="1"/>
        <v>13431.574074074073</v>
      </c>
      <c r="V25" s="44">
        <f t="shared" ca="1" si="2"/>
        <v>3505.9415787917492</v>
      </c>
      <c r="W25" s="44">
        <v>3879.7939999999999</v>
      </c>
      <c r="X25" s="45">
        <f t="shared" ca="1" si="0"/>
        <v>20817.309652865821</v>
      </c>
      <c r="Z25" s="59">
        <v>0.95833333333333337</v>
      </c>
      <c r="AA25" s="60">
        <v>10</v>
      </c>
      <c r="AB25" s="28"/>
      <c r="AC25" s="59">
        <v>0.95833333333333337</v>
      </c>
      <c r="AD25" s="60">
        <v>5</v>
      </c>
    </row>
    <row r="26" spans="1:31" x14ac:dyDescent="0.3">
      <c r="B26"/>
      <c r="Z26" s="28"/>
      <c r="AA26" s="28"/>
      <c r="AB26" s="28"/>
      <c r="AC26" s="28"/>
      <c r="AD26" s="28"/>
      <c r="AE26" s="28"/>
    </row>
    <row r="27" spans="1:31" x14ac:dyDescent="0.3">
      <c r="B27"/>
      <c r="T27" t="s">
        <v>170</v>
      </c>
      <c r="U27" s="29">
        <f ca="1">AVERAGE(U2:U25)</f>
        <v>21770.34297839506</v>
      </c>
      <c r="V27" s="29">
        <f t="shared" ref="V27:X27" ca="1" si="4">AVERAGE(V2:V25)</f>
        <v>14871.035530041669</v>
      </c>
      <c r="W27" s="29">
        <f t="shared" si="4"/>
        <v>3879.7939999999994</v>
      </c>
      <c r="X27" s="29">
        <f t="shared" ca="1" si="4"/>
        <v>40521.172508436743</v>
      </c>
      <c r="Z27" s="28"/>
      <c r="AA27" s="28"/>
      <c r="AB27" s="28"/>
      <c r="AC27" s="28"/>
      <c r="AD27" s="28"/>
      <c r="AE27" s="28"/>
    </row>
    <row r="28" spans="1:31" x14ac:dyDescent="0.3">
      <c r="B28"/>
      <c r="T28" t="s">
        <v>171</v>
      </c>
      <c r="U28">
        <f ca="1">U27/MAX(U2:U25)</f>
        <v>0.60030864197530853</v>
      </c>
      <c r="V28">
        <f t="shared" ref="V28:X28" ca="1" si="5">V27/MAX(V2:V25)</f>
        <v>0.49321705426356582</v>
      </c>
      <c r="W28">
        <f t="shared" si="5"/>
        <v>0.99999999999999989</v>
      </c>
      <c r="X28">
        <f t="shared" ca="1" si="5"/>
        <v>0.73916469493283099</v>
      </c>
      <c r="Z28" s="28" t="s">
        <v>168</v>
      </c>
      <c r="AA28" s="28">
        <f>MAX(AA2:AA25)</f>
        <v>27</v>
      </c>
      <c r="AB28" s="28"/>
      <c r="AC28" s="28" t="s">
        <v>168</v>
      </c>
      <c r="AD28" s="28">
        <f>MAX(AD2:AD25)</f>
        <v>43</v>
      </c>
      <c r="AE28" s="28"/>
    </row>
    <row r="29" spans="1:31" x14ac:dyDescent="0.3">
      <c r="B29"/>
      <c r="Z29" s="28"/>
      <c r="AA29" s="28"/>
      <c r="AB29" s="28"/>
      <c r="AC29" s="28"/>
      <c r="AD29" s="28"/>
      <c r="AE29" s="28"/>
    </row>
    <row r="30" spans="1:31" x14ac:dyDescent="0.3">
      <c r="Z30" s="28"/>
      <c r="AA30" s="28"/>
      <c r="AB30" s="28"/>
      <c r="AC30" s="28"/>
      <c r="AD30" s="28"/>
      <c r="AE30" s="28"/>
    </row>
  </sheetData>
  <pageMargins left="0.7" right="0.7" top="0.75" bottom="0.75" header="0.3" footer="0.3"/>
  <pageSetup orientation="portrait" r:id="rId2"/>
  <tableParts count="5"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32E5-1C5F-4EDE-97E7-92D7BC773C4D}">
  <dimension ref="A1:E4"/>
  <sheetViews>
    <sheetView zoomScale="85" zoomScaleNormal="85" workbookViewId="0">
      <selection activeCell="C3" activeCellId="1" sqref="A3:A4 C3:C4"/>
    </sheetView>
  </sheetViews>
  <sheetFormatPr defaultRowHeight="14.4" x14ac:dyDescent="0.3"/>
  <cols>
    <col min="1" max="1" width="9.33203125" bestFit="1" customWidth="1"/>
    <col min="3" max="3" width="12.109375" bestFit="1" customWidth="1"/>
    <col min="4" max="4" width="15" bestFit="1" customWidth="1"/>
  </cols>
  <sheetData>
    <row r="1" spans="1:5" x14ac:dyDescent="0.3">
      <c r="A1" s="72" t="s">
        <v>176</v>
      </c>
      <c r="B1" s="68" t="s">
        <v>173</v>
      </c>
      <c r="C1" s="68" t="s">
        <v>174</v>
      </c>
      <c r="D1" s="68"/>
      <c r="E1" s="69" t="s">
        <v>175</v>
      </c>
    </row>
    <row r="2" spans="1:5" ht="15" thickBot="1" x14ac:dyDescent="0.35">
      <c r="A2" s="73"/>
      <c r="B2" s="71"/>
      <c r="C2" s="31" t="s">
        <v>180</v>
      </c>
      <c r="D2" s="31" t="s">
        <v>181</v>
      </c>
      <c r="E2" s="70"/>
    </row>
    <row r="3" spans="1:5" x14ac:dyDescent="0.3">
      <c r="A3" s="32" t="s">
        <v>177</v>
      </c>
      <c r="B3" s="33" t="s">
        <v>184</v>
      </c>
      <c r="C3" s="33">
        <v>35000</v>
      </c>
      <c r="D3" s="33">
        <f>C3*E3</f>
        <v>32900</v>
      </c>
      <c r="E3" s="34">
        <v>0.94</v>
      </c>
    </row>
    <row r="4" spans="1:5" ht="15" thickBot="1" x14ac:dyDescent="0.35">
      <c r="A4" s="35" t="s">
        <v>179</v>
      </c>
      <c r="B4" s="36" t="s">
        <v>178</v>
      </c>
      <c r="C4" s="36">
        <v>30000</v>
      </c>
      <c r="D4" s="36">
        <f>C4*E4</f>
        <v>24000</v>
      </c>
      <c r="E4" s="37">
        <v>0.8</v>
      </c>
    </row>
  </sheetData>
  <mergeCells count="4">
    <mergeCell ref="C1:D1"/>
    <mergeCell ref="E1:E2"/>
    <mergeCell ref="B1:B2"/>
    <mergeCell ref="A1:A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83C6-A446-42F0-9309-F1CD19229642}">
  <dimension ref="B2:AN108"/>
  <sheetViews>
    <sheetView showGridLines="0" topLeftCell="A5" zoomScale="115" zoomScaleNormal="115" workbookViewId="0">
      <selection activeCell="A5" sqref="A5"/>
    </sheetView>
  </sheetViews>
  <sheetFormatPr defaultRowHeight="14.4" x14ac:dyDescent="0.3"/>
  <cols>
    <col min="2" max="2" width="13.109375" bestFit="1" customWidth="1"/>
    <col min="3" max="3" width="13.6640625" bestFit="1" customWidth="1"/>
    <col min="4" max="4" width="9.5546875" bestFit="1" customWidth="1"/>
    <col min="5" max="5" width="13.88671875" bestFit="1" customWidth="1"/>
    <col min="6" max="6" width="15.5546875" bestFit="1" customWidth="1"/>
    <col min="7" max="7" width="12" bestFit="1" customWidth="1"/>
    <col min="8" max="8" width="10.44140625" bestFit="1" customWidth="1"/>
    <col min="9" max="9" width="12" bestFit="1" customWidth="1"/>
    <col min="10" max="10" width="14.44140625" bestFit="1" customWidth="1"/>
    <col min="12" max="12" width="13.109375" bestFit="1" customWidth="1"/>
    <col min="13" max="13" width="13.6640625" bestFit="1" customWidth="1"/>
    <col min="14" max="14" width="9.5546875" bestFit="1" customWidth="1"/>
    <col min="15" max="15" width="13.88671875" bestFit="1" customWidth="1"/>
    <col min="16" max="16" width="15.5546875" bestFit="1" customWidth="1"/>
    <col min="17" max="17" width="12" bestFit="1" customWidth="1"/>
    <col min="18" max="18" width="10.44140625" bestFit="1" customWidth="1"/>
    <col min="19" max="19" width="12" bestFit="1" customWidth="1"/>
    <col min="20" max="20" width="14.44140625" bestFit="1" customWidth="1"/>
    <col min="22" max="22" width="13.109375" bestFit="1" customWidth="1"/>
    <col min="23" max="23" width="13.6640625" bestFit="1" customWidth="1"/>
    <col min="24" max="24" width="9.5546875" bestFit="1" customWidth="1"/>
    <col min="25" max="25" width="13.88671875" bestFit="1" customWidth="1"/>
    <col min="26" max="26" width="15.5546875" bestFit="1" customWidth="1"/>
    <col min="27" max="27" width="12" bestFit="1" customWidth="1"/>
    <col min="28" max="28" width="10.44140625" bestFit="1" customWidth="1"/>
    <col min="29" max="29" width="12" bestFit="1" customWidth="1"/>
    <col min="30" max="30" width="14.44140625" bestFit="1" customWidth="1"/>
    <col min="32" max="32" width="13.109375" bestFit="1" customWidth="1"/>
    <col min="33" max="33" width="13.6640625" bestFit="1" customWidth="1"/>
    <col min="34" max="34" width="9.5546875" bestFit="1" customWidth="1"/>
    <col min="35" max="35" width="13.88671875" bestFit="1" customWidth="1"/>
    <col min="36" max="36" width="15.5546875" bestFit="1" customWidth="1"/>
    <col min="37" max="37" width="12" bestFit="1" customWidth="1"/>
    <col min="38" max="38" width="10.44140625" bestFit="1" customWidth="1"/>
    <col min="39" max="39" width="12" bestFit="1" customWidth="1"/>
    <col min="40" max="40" width="14.44140625" bestFit="1" customWidth="1"/>
  </cols>
  <sheetData>
    <row r="2" spans="2:40" ht="15.6" x14ac:dyDescent="0.35">
      <c r="B2" s="50" t="s">
        <v>118</v>
      </c>
      <c r="C2" s="50">
        <f>460</f>
        <v>460</v>
      </c>
      <c r="L2" s="50" t="s">
        <v>118</v>
      </c>
      <c r="M2" s="50">
        <f>460</f>
        <v>460</v>
      </c>
      <c r="V2" s="50" t="s">
        <v>118</v>
      </c>
      <c r="W2" s="50">
        <f>460</f>
        <v>460</v>
      </c>
      <c r="AF2" s="50" t="s">
        <v>118</v>
      </c>
      <c r="AG2" s="50">
        <f>460</f>
        <v>460</v>
      </c>
    </row>
    <row r="3" spans="2:40" ht="15.6" x14ac:dyDescent="0.35">
      <c r="B3" s="50" t="s">
        <v>119</v>
      </c>
      <c r="C3" s="50">
        <f>230</f>
        <v>230</v>
      </c>
      <c r="L3" s="50" t="s">
        <v>119</v>
      </c>
      <c r="M3" s="50">
        <f>230</f>
        <v>230</v>
      </c>
      <c r="V3" s="50" t="s">
        <v>119</v>
      </c>
      <c r="W3" s="50">
        <f>230</f>
        <v>230</v>
      </c>
      <c r="AF3" s="50" t="s">
        <v>119</v>
      </c>
      <c r="AG3" s="50">
        <f>230</f>
        <v>230</v>
      </c>
    </row>
    <row r="5" spans="2:40" x14ac:dyDescent="0.3">
      <c r="B5" s="51" t="s">
        <v>120</v>
      </c>
      <c r="C5" s="50"/>
      <c r="D5" s="50"/>
      <c r="E5" s="50"/>
      <c r="F5" s="50"/>
      <c r="G5" s="50"/>
      <c r="H5" s="50"/>
      <c r="I5" s="50"/>
      <c r="J5" s="50"/>
      <c r="L5" s="51" t="s">
        <v>151</v>
      </c>
      <c r="M5" s="50"/>
      <c r="N5" s="50"/>
      <c r="O5" s="50"/>
      <c r="P5" s="50"/>
      <c r="Q5" s="50"/>
      <c r="R5" s="50"/>
      <c r="S5" s="50"/>
      <c r="T5" s="50"/>
      <c r="V5" s="51" t="s">
        <v>152</v>
      </c>
      <c r="W5" s="50"/>
      <c r="X5" s="50"/>
      <c r="Y5" s="50"/>
      <c r="Z5" s="50"/>
      <c r="AA5" s="50"/>
      <c r="AB5" s="50"/>
      <c r="AC5" s="50"/>
      <c r="AD5" s="50"/>
      <c r="AF5" s="51" t="s">
        <v>153</v>
      </c>
      <c r="AG5" s="50"/>
      <c r="AH5" s="50"/>
      <c r="AI5" s="50"/>
      <c r="AJ5" s="50"/>
      <c r="AK5" s="50"/>
      <c r="AL5" s="50"/>
      <c r="AM5" s="50"/>
      <c r="AN5" s="50"/>
    </row>
    <row r="6" spans="2:40" x14ac:dyDescent="0.3">
      <c r="B6" s="50"/>
      <c r="C6" s="51" t="s">
        <v>121</v>
      </c>
      <c r="D6" s="51"/>
      <c r="E6" s="51"/>
      <c r="F6" s="51"/>
      <c r="G6" s="51"/>
      <c r="H6" s="50"/>
      <c r="I6" s="50"/>
      <c r="J6" s="50"/>
      <c r="L6" s="50"/>
      <c r="M6" s="51" t="s">
        <v>121</v>
      </c>
      <c r="N6" s="51"/>
      <c r="O6" s="51"/>
      <c r="P6" s="51"/>
      <c r="Q6" s="51"/>
      <c r="R6" s="50"/>
      <c r="S6" s="50"/>
      <c r="T6" s="50"/>
      <c r="V6" s="50"/>
      <c r="W6" s="51" t="s">
        <v>121</v>
      </c>
      <c r="X6" s="51"/>
      <c r="Y6" s="51"/>
      <c r="Z6" s="51"/>
      <c r="AA6" s="51"/>
      <c r="AB6" s="50"/>
      <c r="AC6" s="50"/>
      <c r="AD6" s="50"/>
      <c r="AF6" s="50"/>
      <c r="AG6" s="51" t="s">
        <v>121</v>
      </c>
      <c r="AH6" s="51"/>
      <c r="AI6" s="51"/>
      <c r="AJ6" s="51"/>
      <c r="AK6" s="51"/>
      <c r="AL6" s="50"/>
      <c r="AM6" s="50"/>
      <c r="AN6" s="50"/>
    </row>
    <row r="7" spans="2:40" ht="15.6" x14ac:dyDescent="0.35">
      <c r="B7" s="51"/>
      <c r="C7" s="52" t="s">
        <v>77</v>
      </c>
      <c r="D7" s="52" t="s">
        <v>122</v>
      </c>
      <c r="E7" s="52" t="s">
        <v>123</v>
      </c>
      <c r="F7" s="52" t="s">
        <v>124</v>
      </c>
      <c r="G7" s="52" t="s">
        <v>125</v>
      </c>
      <c r="H7" s="52" t="s">
        <v>126</v>
      </c>
      <c r="I7" s="52" t="s">
        <v>127</v>
      </c>
      <c r="J7" s="52" t="s">
        <v>128</v>
      </c>
      <c r="L7" s="51"/>
      <c r="M7" s="52" t="s">
        <v>77</v>
      </c>
      <c r="N7" s="52" t="s">
        <v>122</v>
      </c>
      <c r="O7" s="52" t="s">
        <v>123</v>
      </c>
      <c r="P7" s="52" t="s">
        <v>124</v>
      </c>
      <c r="Q7" s="52" t="s">
        <v>125</v>
      </c>
      <c r="R7" s="52" t="s">
        <v>126</v>
      </c>
      <c r="S7" s="52" t="s">
        <v>127</v>
      </c>
      <c r="T7" s="52" t="s">
        <v>128</v>
      </c>
      <c r="V7" s="51"/>
      <c r="W7" s="52" t="s">
        <v>77</v>
      </c>
      <c r="X7" s="52" t="s">
        <v>122</v>
      </c>
      <c r="Y7" s="52" t="s">
        <v>123</v>
      </c>
      <c r="Z7" s="52" t="s">
        <v>124</v>
      </c>
      <c r="AA7" s="52" t="s">
        <v>125</v>
      </c>
      <c r="AB7" s="52" t="s">
        <v>126</v>
      </c>
      <c r="AC7" s="52" t="s">
        <v>127</v>
      </c>
      <c r="AD7" s="52" t="s">
        <v>128</v>
      </c>
      <c r="AF7" s="51"/>
      <c r="AG7" s="52" t="s">
        <v>77</v>
      </c>
      <c r="AH7" s="52" t="s">
        <v>122</v>
      </c>
      <c r="AI7" s="52" t="s">
        <v>123</v>
      </c>
      <c r="AJ7" s="52" t="s">
        <v>124</v>
      </c>
      <c r="AK7" s="52" t="s">
        <v>125</v>
      </c>
      <c r="AL7" s="52" t="s">
        <v>126</v>
      </c>
      <c r="AM7" s="52" t="s">
        <v>127</v>
      </c>
      <c r="AN7" s="52" t="s">
        <v>128</v>
      </c>
    </row>
    <row r="8" spans="2:40" ht="15.6" x14ac:dyDescent="0.35">
      <c r="B8" s="53" t="s">
        <v>129</v>
      </c>
      <c r="C8" s="54">
        <f>'STUDY AREA 1'!Y4</f>
        <v>300</v>
      </c>
      <c r="D8" s="55">
        <f>(C8*1000)/(SQRT(3)*$C$2)</f>
        <v>376.53278425410377</v>
      </c>
      <c r="E8" s="55">
        <f>1.25*D8</f>
        <v>470.6659803176297</v>
      </c>
      <c r="F8" s="56">
        <f>_xlfn.XLOOKUP(E8,'LOOKUP VALUES'!$A$2:$A$30,'LOOKUP VALUES'!$B$2:$B$30,,1,1)</f>
        <v>500</v>
      </c>
      <c r="G8" s="56" t="str">
        <f>IF(C8&gt;1000,"ACB","MCCB")</f>
        <v>MCCB</v>
      </c>
      <c r="H8" s="57">
        <f>_xlfn.XLOOKUP(C8,'LOOKUP VALUES'!$D$1:$D$8,'LOOKUP VALUES'!$E$1:$E$8,,1,1)</f>
        <v>0.04</v>
      </c>
      <c r="I8" s="56">
        <f>(D8)/H8</f>
        <v>9413.3196063525938</v>
      </c>
      <c r="J8" s="56" t="str">
        <f>_xlfn.XLOOKUP(I8,'LOOKUP VALUES'!$H$2:$H$14,'LOOKUP VALUES'!$I$2:$I$14,,1,1)</f>
        <v>15-18</v>
      </c>
      <c r="L8" s="53" t="s">
        <v>129</v>
      </c>
      <c r="M8" s="54">
        <f>'STUDY AREA 2'!Y4</f>
        <v>800</v>
      </c>
      <c r="N8" s="55">
        <f>(M8*1000)/(SQRT(3)*$C$2)</f>
        <v>1004.0874246776101</v>
      </c>
      <c r="O8" s="55">
        <f>1.25*N8</f>
        <v>1255.1092808470125</v>
      </c>
      <c r="P8" s="56">
        <f>_xlfn.XLOOKUP(O8,'LOOKUP VALUES'!$A$2:$A$30,'LOOKUP VALUES'!$B$2:$B$30,,1,1)</f>
        <v>1600</v>
      </c>
      <c r="Q8" s="56" t="str">
        <f>IF(M8&gt;1000,"ACB","MCCB")</f>
        <v>MCCB</v>
      </c>
      <c r="R8" s="57">
        <f>_xlfn.XLOOKUP(M8,'LOOKUP VALUES'!$D$1:$D$8,'LOOKUP VALUES'!$E$1:$E$8,,1,1)</f>
        <v>0.06</v>
      </c>
      <c r="S8" s="56">
        <f>(N8)/R8</f>
        <v>16734.790411293503</v>
      </c>
      <c r="T8" s="56" t="str">
        <f>_xlfn.XLOOKUP(S8,'LOOKUP VALUES'!$H$2:$H$14,'LOOKUP VALUES'!$I$2:$I$14,,1,1)</f>
        <v>25-35</v>
      </c>
      <c r="V8" s="53" t="s">
        <v>129</v>
      </c>
      <c r="W8" s="54">
        <f>'STUDY AREA 3'!Y4</f>
        <v>300</v>
      </c>
      <c r="X8" s="55">
        <f>(W8*1000)/(SQRT(3)*$C$2)</f>
        <v>376.53278425410377</v>
      </c>
      <c r="Y8" s="55">
        <f>1.25*X8</f>
        <v>470.6659803176297</v>
      </c>
      <c r="Z8" s="56">
        <f>_xlfn.XLOOKUP(Y8,'LOOKUP VALUES'!$A$2:$A$30,'LOOKUP VALUES'!$B$2:$B$30,,1,1)</f>
        <v>500</v>
      </c>
      <c r="AA8" s="56" t="str">
        <f>IF(W8&gt;1000,"ACB","MCCB")</f>
        <v>MCCB</v>
      </c>
      <c r="AB8" s="57">
        <f>_xlfn.XLOOKUP(W8,'LOOKUP VALUES'!$D$1:$D$8,'LOOKUP VALUES'!$E$1:$E$8,,1,1)</f>
        <v>0.04</v>
      </c>
      <c r="AC8" s="56">
        <f>(X8)/AB8</f>
        <v>9413.3196063525938</v>
      </c>
      <c r="AD8" s="56" t="str">
        <f>_xlfn.XLOOKUP(AC8,'LOOKUP VALUES'!$H$2:$H$14,'LOOKUP VALUES'!$I$2:$I$14,,1,1)</f>
        <v>15-18</v>
      </c>
      <c r="AF8" s="53" t="s">
        <v>129</v>
      </c>
      <c r="AG8" s="54">
        <f>'STUDY AREA 4'!Y4</f>
        <v>450</v>
      </c>
      <c r="AH8" s="55">
        <f>(AG8*1000)/(SQRT(3)*$C$2)</f>
        <v>564.79917638115569</v>
      </c>
      <c r="AI8" s="55">
        <f>1.25*AH8</f>
        <v>705.99897047644458</v>
      </c>
      <c r="AJ8" s="56">
        <f>_xlfn.XLOOKUP(AI8,'LOOKUP VALUES'!$A$2:$A$30,'LOOKUP VALUES'!$B$2:$B$30,,1,1)</f>
        <v>800</v>
      </c>
      <c r="AK8" s="56" t="str">
        <f>IF(AG8&gt;1000,"ACB","MCCB")</f>
        <v>MCCB</v>
      </c>
      <c r="AL8" s="57">
        <f>_xlfn.XLOOKUP(AG8,'LOOKUP VALUES'!$D$1:$D$8,'LOOKUP VALUES'!$E$1:$E$8,,1,1)</f>
        <v>0.05</v>
      </c>
      <c r="AM8" s="56">
        <f>(AH8)/AL8</f>
        <v>11295.983527623113</v>
      </c>
      <c r="AN8" s="56" t="str">
        <f>_xlfn.XLOOKUP(AM8,'LOOKUP VALUES'!$H$2:$H$14,'LOOKUP VALUES'!$I$2:$I$14,,1,1)</f>
        <v>15-18</v>
      </c>
    </row>
    <row r="9" spans="2:40" ht="15.6" x14ac:dyDescent="0.35">
      <c r="B9" s="50"/>
      <c r="C9" s="56"/>
      <c r="D9" s="52" t="s">
        <v>130</v>
      </c>
      <c r="E9" s="52" t="s">
        <v>131</v>
      </c>
      <c r="F9" s="52" t="s">
        <v>124</v>
      </c>
      <c r="G9" s="52" t="s">
        <v>125</v>
      </c>
      <c r="H9" s="52" t="s">
        <v>126</v>
      </c>
      <c r="I9" s="52" t="s">
        <v>127</v>
      </c>
      <c r="J9" s="52" t="s">
        <v>128</v>
      </c>
      <c r="L9" s="50"/>
      <c r="M9" s="56"/>
      <c r="N9" s="52" t="s">
        <v>130</v>
      </c>
      <c r="O9" s="52" t="s">
        <v>131</v>
      </c>
      <c r="P9" s="52" t="s">
        <v>124</v>
      </c>
      <c r="Q9" s="52" t="s">
        <v>125</v>
      </c>
      <c r="R9" s="52" t="s">
        <v>126</v>
      </c>
      <c r="S9" s="52" t="s">
        <v>127</v>
      </c>
      <c r="T9" s="52" t="s">
        <v>128</v>
      </c>
      <c r="V9" s="50"/>
      <c r="W9" s="56"/>
      <c r="X9" s="52" t="s">
        <v>130</v>
      </c>
      <c r="Y9" s="52" t="s">
        <v>131</v>
      </c>
      <c r="Z9" s="52" t="s">
        <v>124</v>
      </c>
      <c r="AA9" s="52" t="s">
        <v>125</v>
      </c>
      <c r="AB9" s="52" t="s">
        <v>126</v>
      </c>
      <c r="AC9" s="52" t="s">
        <v>127</v>
      </c>
      <c r="AD9" s="52" t="s">
        <v>128</v>
      </c>
      <c r="AF9" s="50"/>
      <c r="AG9" s="56"/>
      <c r="AH9" s="52" t="s">
        <v>130</v>
      </c>
      <c r="AI9" s="52" t="s">
        <v>131</v>
      </c>
      <c r="AJ9" s="52" t="s">
        <v>124</v>
      </c>
      <c r="AK9" s="52" t="s">
        <v>125</v>
      </c>
      <c r="AL9" s="52" t="s">
        <v>126</v>
      </c>
      <c r="AM9" s="52" t="s">
        <v>127</v>
      </c>
      <c r="AN9" s="52" t="s">
        <v>128</v>
      </c>
    </row>
    <row r="10" spans="2:40" x14ac:dyDescent="0.3">
      <c r="B10" s="50"/>
      <c r="C10" s="56"/>
      <c r="D10" s="55">
        <f>(C8*1000)/(SQRT(3)*$C$3)</f>
        <v>753.06556850820755</v>
      </c>
      <c r="E10" s="55">
        <f>1.25*D10</f>
        <v>941.33196063525941</v>
      </c>
      <c r="F10" s="56">
        <f>_xlfn.XLOOKUP(E10,'LOOKUP VALUES'!$A$2:$A$30,'LOOKUP VALUES'!$B$2:$B$30,,1,1)</f>
        <v>1000</v>
      </c>
      <c r="G10" s="56" t="str">
        <f>IF(C8&gt;1000,"ACB","MCCB")</f>
        <v>MCCB</v>
      </c>
      <c r="H10" s="57">
        <f>_xlfn.XLOOKUP(C8,'LOOKUP VALUES'!$D$1:$D$8,'LOOKUP VALUES'!$E$1:$E$8,,1,1)</f>
        <v>0.04</v>
      </c>
      <c r="I10" s="56">
        <f>(D10)/H10</f>
        <v>18826.639212705188</v>
      </c>
      <c r="J10" s="56" t="str">
        <f>_xlfn.XLOOKUP(I10,'LOOKUP VALUES'!$H$2:$H$14,'LOOKUP VALUES'!$I$2:$I$14,,1,1)</f>
        <v>25-35</v>
      </c>
      <c r="L10" s="50"/>
      <c r="M10" s="56"/>
      <c r="N10" s="55">
        <f>(M8*1000)/(SQRT(3)*$C$3)</f>
        <v>2008.1748493552202</v>
      </c>
      <c r="O10" s="55">
        <f>1.25*N10</f>
        <v>2510.2185616940251</v>
      </c>
      <c r="P10" s="56">
        <f>_xlfn.XLOOKUP(O10,'LOOKUP VALUES'!$A$2:$A$30,'LOOKUP VALUES'!$B$2:$B$30,,1,1)</f>
        <v>3000</v>
      </c>
      <c r="Q10" s="56" t="str">
        <f>IF(M8&gt;1000,"ACB","MCCB")</f>
        <v>MCCB</v>
      </c>
      <c r="R10" s="57">
        <f>_xlfn.XLOOKUP(M8,'LOOKUP VALUES'!$D$1:$D$8,'LOOKUP VALUES'!$E$1:$E$8,,1,1)</f>
        <v>0.06</v>
      </c>
      <c r="S10" s="56">
        <f>(N10)/R10</f>
        <v>33469.580822587006</v>
      </c>
      <c r="T10" s="56" t="str">
        <f>_xlfn.XLOOKUP(S10,'LOOKUP VALUES'!$H$2:$H$14,'LOOKUP VALUES'!$I$2:$I$14,,1,1)</f>
        <v>60</v>
      </c>
      <c r="V10" s="50"/>
      <c r="W10" s="56"/>
      <c r="X10" s="55">
        <f>(W8*1000)/(SQRT(3)*$C$3)</f>
        <v>753.06556850820755</v>
      </c>
      <c r="Y10" s="55">
        <f>1.25*X10</f>
        <v>941.33196063525941</v>
      </c>
      <c r="Z10" s="56">
        <f>_xlfn.XLOOKUP(Y10,'LOOKUP VALUES'!$A$2:$A$30,'LOOKUP VALUES'!$B$2:$B$30,,1,1)</f>
        <v>1000</v>
      </c>
      <c r="AA10" s="56" t="str">
        <f>IF(W8&gt;1000,"ACB","MCCB")</f>
        <v>MCCB</v>
      </c>
      <c r="AB10" s="57">
        <f>_xlfn.XLOOKUP(W8,'LOOKUP VALUES'!$D$1:$D$8,'LOOKUP VALUES'!$E$1:$E$8,,1,1)</f>
        <v>0.04</v>
      </c>
      <c r="AC10" s="56">
        <f>(X10)/AB10</f>
        <v>18826.639212705188</v>
      </c>
      <c r="AD10" s="56" t="str">
        <f>_xlfn.XLOOKUP(AC10,'LOOKUP VALUES'!$H$2:$H$14,'LOOKUP VALUES'!$I$2:$I$14,,1,1)</f>
        <v>25-35</v>
      </c>
      <c r="AF10" s="50"/>
      <c r="AG10" s="56"/>
      <c r="AH10" s="55">
        <f>(AG8*1000)/(SQRT(3)*$C$3)</f>
        <v>1129.5983527623114</v>
      </c>
      <c r="AI10" s="55">
        <f>1.25*AH10</f>
        <v>1411.9979409528892</v>
      </c>
      <c r="AJ10" s="56">
        <f>_xlfn.XLOOKUP(AI10,'LOOKUP VALUES'!$A$2:$A$30,'LOOKUP VALUES'!$B$2:$B$30,,1,1)</f>
        <v>1600</v>
      </c>
      <c r="AK10" s="56" t="str">
        <f>IF(AG8&gt;1000,"ACB","MCCB")</f>
        <v>MCCB</v>
      </c>
      <c r="AL10" s="57">
        <f>_xlfn.XLOOKUP(AG8,'LOOKUP VALUES'!$D$1:$D$8,'LOOKUP VALUES'!$E$1:$E$8,,1,1)</f>
        <v>0.05</v>
      </c>
      <c r="AM10" s="56">
        <f>(AH10)/AL10</f>
        <v>22591.967055246227</v>
      </c>
      <c r="AN10" s="56" t="str">
        <f>_xlfn.XLOOKUP(AM10,'LOOKUP VALUES'!$H$2:$H$14,'LOOKUP VALUES'!$I$2:$I$14,,1,1)</f>
        <v>25-35</v>
      </c>
    </row>
    <row r="11" spans="2:40" x14ac:dyDescent="0.3">
      <c r="B11" s="50"/>
      <c r="C11" s="50"/>
      <c r="D11" s="50"/>
      <c r="E11" s="50"/>
      <c r="F11" s="50"/>
      <c r="G11" s="50"/>
      <c r="H11" s="50"/>
      <c r="I11" s="50"/>
      <c r="J11" s="50"/>
      <c r="L11" s="50"/>
      <c r="M11" s="50"/>
      <c r="N11" s="50"/>
      <c r="O11" s="50"/>
      <c r="P11" s="50"/>
      <c r="Q11" s="50"/>
      <c r="R11" s="50"/>
      <c r="S11" s="50"/>
      <c r="T11" s="50"/>
      <c r="V11" s="50"/>
      <c r="W11" s="50"/>
      <c r="X11" s="50"/>
      <c r="Y11" s="50"/>
      <c r="Z11" s="50"/>
      <c r="AA11" s="50"/>
      <c r="AB11" s="50"/>
      <c r="AC11" s="50"/>
      <c r="AD11" s="50"/>
      <c r="AF11" s="50"/>
      <c r="AG11" s="50"/>
      <c r="AH11" s="50"/>
      <c r="AI11" s="50"/>
      <c r="AJ11" s="50"/>
      <c r="AK11" s="50"/>
      <c r="AL11" s="50"/>
      <c r="AM11" s="50"/>
      <c r="AN11" s="50"/>
    </row>
    <row r="12" spans="2:40" ht="15.6" x14ac:dyDescent="0.35">
      <c r="B12" s="51"/>
      <c r="C12" s="52" t="s">
        <v>77</v>
      </c>
      <c r="D12" s="52" t="s">
        <v>122</v>
      </c>
      <c r="E12" s="52" t="s">
        <v>123</v>
      </c>
      <c r="F12" s="52" t="s">
        <v>124</v>
      </c>
      <c r="G12" s="52" t="s">
        <v>125</v>
      </c>
      <c r="H12" s="52" t="s">
        <v>126</v>
      </c>
      <c r="I12" s="52" t="s">
        <v>127</v>
      </c>
      <c r="J12" s="52" t="s">
        <v>128</v>
      </c>
      <c r="L12" s="51"/>
      <c r="M12" s="52" t="s">
        <v>77</v>
      </c>
      <c r="N12" s="52" t="s">
        <v>122</v>
      </c>
      <c r="O12" s="52" t="s">
        <v>123</v>
      </c>
      <c r="P12" s="52" t="s">
        <v>124</v>
      </c>
      <c r="Q12" s="52" t="s">
        <v>125</v>
      </c>
      <c r="R12" s="52" t="s">
        <v>126</v>
      </c>
      <c r="S12" s="52" t="s">
        <v>127</v>
      </c>
      <c r="T12" s="52" t="s">
        <v>128</v>
      </c>
      <c r="V12" s="51"/>
      <c r="W12" s="52" t="s">
        <v>77</v>
      </c>
      <c r="X12" s="52" t="s">
        <v>122</v>
      </c>
      <c r="Y12" s="52" t="s">
        <v>123</v>
      </c>
      <c r="Z12" s="52" t="s">
        <v>124</v>
      </c>
      <c r="AA12" s="52" t="s">
        <v>125</v>
      </c>
      <c r="AB12" s="52" t="s">
        <v>126</v>
      </c>
      <c r="AC12" s="52" t="s">
        <v>127</v>
      </c>
      <c r="AD12" s="52" t="s">
        <v>128</v>
      </c>
      <c r="AF12" s="51"/>
      <c r="AG12" s="52" t="s">
        <v>77</v>
      </c>
      <c r="AH12" s="52" t="s">
        <v>122</v>
      </c>
      <c r="AI12" s="52" t="s">
        <v>123</v>
      </c>
      <c r="AJ12" s="52" t="s">
        <v>124</v>
      </c>
      <c r="AK12" s="52" t="s">
        <v>125</v>
      </c>
      <c r="AL12" s="52" t="s">
        <v>126</v>
      </c>
      <c r="AM12" s="52" t="s">
        <v>127</v>
      </c>
      <c r="AN12" s="52" t="s">
        <v>128</v>
      </c>
    </row>
    <row r="13" spans="2:40" ht="15.6" x14ac:dyDescent="0.35">
      <c r="B13" s="53" t="s">
        <v>132</v>
      </c>
      <c r="C13" s="54">
        <f>'STUDY AREA 1'!Y12</f>
        <v>450</v>
      </c>
      <c r="D13" s="55">
        <f>(C13*1000)/(SQRT(3)*$C$2)</f>
        <v>564.79917638115569</v>
      </c>
      <c r="E13" s="55">
        <f>1.25*D13</f>
        <v>705.99897047644458</v>
      </c>
      <c r="F13" s="56">
        <f>_xlfn.XLOOKUP(E13,'LOOKUP VALUES'!$A$2:$A$30,'LOOKUP VALUES'!$B$2:$B$30,,1,1)</f>
        <v>800</v>
      </c>
      <c r="G13" s="56" t="str">
        <f>IF(C13&gt;1000,"ACB","MCCB")</f>
        <v>MCCB</v>
      </c>
      <c r="H13" s="57">
        <f>_xlfn.XLOOKUP(C13,'LOOKUP VALUES'!$D$1:$D$8,'LOOKUP VALUES'!$E$1:$E$8,,1,1)</f>
        <v>0.05</v>
      </c>
      <c r="I13" s="56">
        <f>(D13)/H13</f>
        <v>11295.983527623113</v>
      </c>
      <c r="J13" s="56" t="str">
        <f>_xlfn.XLOOKUP(I13,'LOOKUP VALUES'!$H$2:$H$14,'LOOKUP VALUES'!$I$2:$I$14,,1,1)</f>
        <v>15-18</v>
      </c>
      <c r="L13" s="53" t="s">
        <v>132</v>
      </c>
      <c r="M13" s="54">
        <f>'STUDY AREA 2'!Y12</f>
        <v>450</v>
      </c>
      <c r="N13" s="55">
        <f>(M13*1000)/(SQRT(3)*$C$2)</f>
        <v>564.79917638115569</v>
      </c>
      <c r="O13" s="55">
        <f>1.25*N13</f>
        <v>705.99897047644458</v>
      </c>
      <c r="P13" s="56">
        <f>_xlfn.XLOOKUP(O13,'LOOKUP VALUES'!$A$2:$A$30,'LOOKUP VALUES'!$B$2:$B$30,,1,1)</f>
        <v>800</v>
      </c>
      <c r="Q13" s="56" t="str">
        <f>IF(M13&gt;1000,"ACB","MCCB")</f>
        <v>MCCB</v>
      </c>
      <c r="R13" s="57">
        <f>_xlfn.XLOOKUP(M13,'LOOKUP VALUES'!$D$1:$D$8,'LOOKUP VALUES'!$E$1:$E$8,,1,1)</f>
        <v>0.05</v>
      </c>
      <c r="S13" s="56">
        <f>(N13)/R13</f>
        <v>11295.983527623113</v>
      </c>
      <c r="T13" s="56" t="str">
        <f>_xlfn.XLOOKUP(S13,'LOOKUP VALUES'!$H$2:$H$14,'LOOKUP VALUES'!$I$2:$I$14,,1,1)</f>
        <v>15-18</v>
      </c>
      <c r="V13" s="53" t="s">
        <v>132</v>
      </c>
      <c r="W13" s="54">
        <f>'STUDY AREA 3'!Y12</f>
        <v>450</v>
      </c>
      <c r="X13" s="55">
        <f>(W13*1000)/(SQRT(3)*$C$2)</f>
        <v>564.79917638115569</v>
      </c>
      <c r="Y13" s="55">
        <f>1.25*X13</f>
        <v>705.99897047644458</v>
      </c>
      <c r="Z13" s="56">
        <f>_xlfn.XLOOKUP(Y13,'LOOKUP VALUES'!$A$2:$A$30,'LOOKUP VALUES'!$B$2:$B$30,,1,1)</f>
        <v>800</v>
      </c>
      <c r="AA13" s="56" t="str">
        <f>IF(W13&gt;1000,"ACB","MCCB")</f>
        <v>MCCB</v>
      </c>
      <c r="AB13" s="57">
        <f>_xlfn.XLOOKUP(W13,'LOOKUP VALUES'!$D$1:$D$8,'LOOKUP VALUES'!$E$1:$E$8,,1,1)</f>
        <v>0.05</v>
      </c>
      <c r="AC13" s="56">
        <f>(X13)/AB13</f>
        <v>11295.983527623113</v>
      </c>
      <c r="AD13" s="56" t="str">
        <f>_xlfn.XLOOKUP(AC13,'LOOKUP VALUES'!$H$2:$H$14,'LOOKUP VALUES'!$I$2:$I$14,,1,1)</f>
        <v>15-18</v>
      </c>
      <c r="AF13" s="53" t="s">
        <v>132</v>
      </c>
      <c r="AG13" s="54">
        <f>'STUDY AREA 4'!Y13</f>
        <v>450</v>
      </c>
      <c r="AH13" s="55">
        <f>(AG13*1000)/(SQRT(3)*$C$2)</f>
        <v>564.79917638115569</v>
      </c>
      <c r="AI13" s="55">
        <f>1.25*AH13</f>
        <v>705.99897047644458</v>
      </c>
      <c r="AJ13" s="56">
        <f>_xlfn.XLOOKUP(AI13,'LOOKUP VALUES'!$A$2:$A$30,'LOOKUP VALUES'!$B$2:$B$30,,1,1)</f>
        <v>800</v>
      </c>
      <c r="AK13" s="56" t="str">
        <f>IF(AG13&gt;1000,"ACB","MCCB")</f>
        <v>MCCB</v>
      </c>
      <c r="AL13" s="57">
        <f>_xlfn.XLOOKUP(AG13,'LOOKUP VALUES'!$D$1:$D$8,'LOOKUP VALUES'!$E$1:$E$8,,1,1)</f>
        <v>0.05</v>
      </c>
      <c r="AM13" s="56">
        <f>(AH13)/AL13</f>
        <v>11295.983527623113</v>
      </c>
      <c r="AN13" s="56" t="str">
        <f>_xlfn.XLOOKUP(AM13,'LOOKUP VALUES'!$H$2:$H$14,'LOOKUP VALUES'!$I$2:$I$14,,1,1)</f>
        <v>15-18</v>
      </c>
    </row>
    <row r="14" spans="2:40" ht="15.6" x14ac:dyDescent="0.35">
      <c r="B14" s="50"/>
      <c r="C14" s="56"/>
      <c r="D14" s="52" t="s">
        <v>130</v>
      </c>
      <c r="E14" s="52" t="s">
        <v>131</v>
      </c>
      <c r="F14" s="52" t="s">
        <v>124</v>
      </c>
      <c r="G14" s="52" t="s">
        <v>125</v>
      </c>
      <c r="H14" s="52" t="s">
        <v>126</v>
      </c>
      <c r="I14" s="52" t="s">
        <v>127</v>
      </c>
      <c r="J14" s="52" t="s">
        <v>128</v>
      </c>
      <c r="L14" s="50"/>
      <c r="M14" s="56"/>
      <c r="N14" s="52" t="s">
        <v>130</v>
      </c>
      <c r="O14" s="52" t="s">
        <v>131</v>
      </c>
      <c r="P14" s="52" t="s">
        <v>124</v>
      </c>
      <c r="Q14" s="52" t="s">
        <v>125</v>
      </c>
      <c r="R14" s="52" t="s">
        <v>126</v>
      </c>
      <c r="S14" s="52" t="s">
        <v>127</v>
      </c>
      <c r="T14" s="52" t="s">
        <v>128</v>
      </c>
      <c r="V14" s="50"/>
      <c r="W14" s="56"/>
      <c r="X14" s="52" t="s">
        <v>130</v>
      </c>
      <c r="Y14" s="52" t="s">
        <v>131</v>
      </c>
      <c r="Z14" s="52" t="s">
        <v>124</v>
      </c>
      <c r="AA14" s="52" t="s">
        <v>125</v>
      </c>
      <c r="AB14" s="52" t="s">
        <v>126</v>
      </c>
      <c r="AC14" s="52" t="s">
        <v>127</v>
      </c>
      <c r="AD14" s="52" t="s">
        <v>128</v>
      </c>
      <c r="AF14" s="50"/>
      <c r="AG14" s="56"/>
      <c r="AH14" s="52" t="s">
        <v>130</v>
      </c>
      <c r="AI14" s="52" t="s">
        <v>131</v>
      </c>
      <c r="AJ14" s="52" t="s">
        <v>124</v>
      </c>
      <c r="AK14" s="52" t="s">
        <v>125</v>
      </c>
      <c r="AL14" s="52" t="s">
        <v>126</v>
      </c>
      <c r="AM14" s="52" t="s">
        <v>127</v>
      </c>
      <c r="AN14" s="52" t="s">
        <v>128</v>
      </c>
    </row>
    <row r="15" spans="2:40" x14ac:dyDescent="0.3">
      <c r="B15" s="50"/>
      <c r="C15" s="56"/>
      <c r="D15" s="55">
        <f>(C13*1000)/(SQRT(3)*$C$3)</f>
        <v>1129.5983527623114</v>
      </c>
      <c r="E15" s="55">
        <f>1.25*D15</f>
        <v>1411.9979409528892</v>
      </c>
      <c r="F15" s="56">
        <f>_xlfn.XLOOKUP(E15,'LOOKUP VALUES'!$A$2:$A$30,'LOOKUP VALUES'!$B$2:$B$30,,1,1)</f>
        <v>1600</v>
      </c>
      <c r="G15" s="56" t="str">
        <f>IF(C13&gt;1000,"ACB","MCCB")</f>
        <v>MCCB</v>
      </c>
      <c r="H15" s="57">
        <f>_xlfn.XLOOKUP(C13,'LOOKUP VALUES'!$D$1:$D$8,'LOOKUP VALUES'!$E$1:$E$8,,1,1)</f>
        <v>0.05</v>
      </c>
      <c r="I15" s="56">
        <f>(D15)/H15</f>
        <v>22591.967055246227</v>
      </c>
      <c r="J15" s="56" t="str">
        <f>_xlfn.XLOOKUP(I15,'LOOKUP VALUES'!$H$2:$H$14,'LOOKUP VALUES'!$I$2:$I$14,,1,1)</f>
        <v>25-35</v>
      </c>
      <c r="L15" s="50"/>
      <c r="M15" s="56"/>
      <c r="N15" s="55">
        <f>(M13*1000)/(SQRT(3)*$C$3)</f>
        <v>1129.5983527623114</v>
      </c>
      <c r="O15" s="55">
        <f>1.25*N15</f>
        <v>1411.9979409528892</v>
      </c>
      <c r="P15" s="56">
        <f>_xlfn.XLOOKUP(O15,'LOOKUP VALUES'!$A$2:$A$30,'LOOKUP VALUES'!$B$2:$B$30,,1,1)</f>
        <v>1600</v>
      </c>
      <c r="Q15" s="56" t="str">
        <f>IF(M13&gt;1000,"ACB","MCCB")</f>
        <v>MCCB</v>
      </c>
      <c r="R15" s="57">
        <f>_xlfn.XLOOKUP(M13,'LOOKUP VALUES'!$D$1:$D$8,'LOOKUP VALUES'!$E$1:$E$8,,1,1)</f>
        <v>0.05</v>
      </c>
      <c r="S15" s="56">
        <f>(N15)/R15</f>
        <v>22591.967055246227</v>
      </c>
      <c r="T15" s="56" t="str">
        <f>_xlfn.XLOOKUP(S15,'LOOKUP VALUES'!$H$2:$H$14,'LOOKUP VALUES'!$I$2:$I$14,,1,1)</f>
        <v>25-35</v>
      </c>
      <c r="V15" s="50"/>
      <c r="W15" s="56"/>
      <c r="X15" s="55">
        <f>(W13*1000)/(SQRT(3)*$C$3)</f>
        <v>1129.5983527623114</v>
      </c>
      <c r="Y15" s="55">
        <f>1.25*X15</f>
        <v>1411.9979409528892</v>
      </c>
      <c r="Z15" s="56">
        <f>_xlfn.XLOOKUP(Y15,'LOOKUP VALUES'!$A$2:$A$30,'LOOKUP VALUES'!$B$2:$B$30,,1,1)</f>
        <v>1600</v>
      </c>
      <c r="AA15" s="56" t="str">
        <f>IF(W13&gt;1000,"ACB","MCCB")</f>
        <v>MCCB</v>
      </c>
      <c r="AB15" s="57">
        <f>_xlfn.XLOOKUP(W13,'LOOKUP VALUES'!$D$1:$D$8,'LOOKUP VALUES'!$E$1:$E$8,,1,1)</f>
        <v>0.05</v>
      </c>
      <c r="AC15" s="56">
        <f>(X15)/AB15</f>
        <v>22591.967055246227</v>
      </c>
      <c r="AD15" s="56" t="str">
        <f>_xlfn.XLOOKUP(AC15,'LOOKUP VALUES'!$H$2:$H$14,'LOOKUP VALUES'!$I$2:$I$14,,1,1)</f>
        <v>25-35</v>
      </c>
      <c r="AF15" s="50"/>
      <c r="AG15" s="56"/>
      <c r="AH15" s="55">
        <f>(AG13*1000)/(SQRT(3)*$C$3)</f>
        <v>1129.5983527623114</v>
      </c>
      <c r="AI15" s="55">
        <f>1.25*AH15</f>
        <v>1411.9979409528892</v>
      </c>
      <c r="AJ15" s="56">
        <f>_xlfn.XLOOKUP(AI15,'LOOKUP VALUES'!$A$2:$A$30,'LOOKUP VALUES'!$B$2:$B$30,,1,1)</f>
        <v>1600</v>
      </c>
      <c r="AK15" s="56" t="str">
        <f>IF(AG13&gt;1000,"ACB","MCCB")</f>
        <v>MCCB</v>
      </c>
      <c r="AL15" s="57">
        <f>_xlfn.XLOOKUP(AG13,'LOOKUP VALUES'!$D$1:$D$8,'LOOKUP VALUES'!$E$1:$E$8,,1,1)</f>
        <v>0.05</v>
      </c>
      <c r="AM15" s="56">
        <f>(AH15)/AL15</f>
        <v>22591.967055246227</v>
      </c>
      <c r="AN15" s="56" t="str">
        <f>_xlfn.XLOOKUP(AM15,'LOOKUP VALUES'!$H$2:$H$14,'LOOKUP VALUES'!$I$2:$I$14,,1,1)</f>
        <v>25-35</v>
      </c>
    </row>
    <row r="16" spans="2:40" x14ac:dyDescent="0.3">
      <c r="B16" s="50"/>
      <c r="C16" s="50"/>
      <c r="D16" s="50"/>
      <c r="E16" s="50"/>
      <c r="F16" s="50"/>
      <c r="G16" s="50"/>
      <c r="H16" s="50"/>
      <c r="I16" s="50"/>
      <c r="J16" s="50"/>
      <c r="L16" s="50"/>
      <c r="M16" s="50"/>
      <c r="N16" s="50"/>
      <c r="O16" s="50"/>
      <c r="P16" s="50"/>
      <c r="Q16" s="50"/>
      <c r="R16" s="50"/>
      <c r="S16" s="50"/>
      <c r="T16" s="50"/>
      <c r="V16" s="50"/>
      <c r="W16" s="50"/>
      <c r="X16" s="50"/>
      <c r="Y16" s="50"/>
      <c r="Z16" s="50"/>
      <c r="AA16" s="50"/>
      <c r="AB16" s="50"/>
      <c r="AC16" s="50"/>
      <c r="AD16" s="50"/>
      <c r="AF16" s="50"/>
      <c r="AG16" s="50"/>
      <c r="AH16" s="50"/>
      <c r="AI16" s="50"/>
      <c r="AJ16" s="50"/>
      <c r="AK16" s="50"/>
      <c r="AL16" s="50"/>
      <c r="AM16" s="50"/>
      <c r="AN16" s="50"/>
    </row>
    <row r="17" spans="2:40" ht="15.6" x14ac:dyDescent="0.35">
      <c r="B17" s="51"/>
      <c r="C17" s="52" t="s">
        <v>77</v>
      </c>
      <c r="D17" s="52" t="s">
        <v>122</v>
      </c>
      <c r="E17" s="52" t="s">
        <v>123</v>
      </c>
      <c r="F17" s="52" t="s">
        <v>124</v>
      </c>
      <c r="G17" s="52" t="s">
        <v>125</v>
      </c>
      <c r="H17" s="52" t="s">
        <v>126</v>
      </c>
      <c r="I17" s="52" t="s">
        <v>127</v>
      </c>
      <c r="J17" s="52" t="s">
        <v>128</v>
      </c>
      <c r="L17" s="51"/>
      <c r="M17" s="52" t="s">
        <v>77</v>
      </c>
      <c r="N17" s="52" t="s">
        <v>122</v>
      </c>
      <c r="O17" s="52" t="s">
        <v>123</v>
      </c>
      <c r="P17" s="52" t="s">
        <v>124</v>
      </c>
      <c r="Q17" s="52" t="s">
        <v>125</v>
      </c>
      <c r="R17" s="52" t="s">
        <v>126</v>
      </c>
      <c r="S17" s="52" t="s">
        <v>127</v>
      </c>
      <c r="T17" s="52" t="s">
        <v>128</v>
      </c>
      <c r="V17" s="51"/>
      <c r="W17" s="52" t="s">
        <v>77</v>
      </c>
      <c r="X17" s="52" t="s">
        <v>122</v>
      </c>
      <c r="Y17" s="52" t="s">
        <v>123</v>
      </c>
      <c r="Z17" s="52" t="s">
        <v>124</v>
      </c>
      <c r="AA17" s="52" t="s">
        <v>125</v>
      </c>
      <c r="AB17" s="52" t="s">
        <v>126</v>
      </c>
      <c r="AC17" s="52" t="s">
        <v>127</v>
      </c>
      <c r="AD17" s="52" t="s">
        <v>128</v>
      </c>
      <c r="AF17" s="51"/>
      <c r="AG17" s="52" t="s">
        <v>77</v>
      </c>
      <c r="AH17" s="52" t="s">
        <v>122</v>
      </c>
      <c r="AI17" s="52" t="s">
        <v>123</v>
      </c>
      <c r="AJ17" s="52" t="s">
        <v>124</v>
      </c>
      <c r="AK17" s="52" t="s">
        <v>125</v>
      </c>
      <c r="AL17" s="52" t="s">
        <v>126</v>
      </c>
      <c r="AM17" s="52" t="s">
        <v>127</v>
      </c>
      <c r="AN17" s="52" t="s">
        <v>128</v>
      </c>
    </row>
    <row r="18" spans="2:40" ht="15.6" x14ac:dyDescent="0.35">
      <c r="B18" s="53" t="s">
        <v>133</v>
      </c>
      <c r="C18" s="54">
        <f>'STUDY AREA 1'!Y20</f>
        <v>1000</v>
      </c>
      <c r="D18" s="55">
        <f>(C18*1000)/(SQRT(3)*$C$2)</f>
        <v>1255.1092808470125</v>
      </c>
      <c r="E18" s="55">
        <f>1.25*D18</f>
        <v>1568.8866010587658</v>
      </c>
      <c r="F18" s="56">
        <f>_xlfn.XLOOKUP(E18,'LOOKUP VALUES'!$A$2:$A$30,'LOOKUP VALUES'!$B$2:$B$30,,1,1)</f>
        <v>1600</v>
      </c>
      <c r="G18" s="56" t="str">
        <f>IF(C18&gt;1000,"ACB","MCCB")</f>
        <v>MCCB</v>
      </c>
      <c r="H18" s="57">
        <f>_xlfn.XLOOKUP(C18,'LOOKUP VALUES'!$D$1:$D$8,'LOOKUP VALUES'!$E$1:$E$8,,1,1)</f>
        <v>0.06</v>
      </c>
      <c r="I18" s="56">
        <f>(D18)/H18</f>
        <v>20918.488014116876</v>
      </c>
      <c r="J18" s="56" t="str">
        <f>_xlfn.XLOOKUP(I18,'LOOKUP VALUES'!$H$2:$H$14,'LOOKUP VALUES'!$I$2:$I$14,,1,1)</f>
        <v>25-35</v>
      </c>
      <c r="L18" s="53" t="s">
        <v>133</v>
      </c>
      <c r="M18" s="54">
        <f>'STUDY AREA 2'!Y20</f>
        <v>112.5</v>
      </c>
      <c r="N18" s="55">
        <f>(M18*1000)/(SQRT(3)*$C$2)</f>
        <v>141.19979409528892</v>
      </c>
      <c r="O18" s="55">
        <f>1.25*N18</f>
        <v>176.49974261911115</v>
      </c>
      <c r="P18" s="56">
        <f>_xlfn.XLOOKUP(O18,'LOOKUP VALUES'!$A$2:$A$30,'LOOKUP VALUES'!$B$2:$B$30,,1,1)</f>
        <v>200</v>
      </c>
      <c r="Q18" s="56" t="str">
        <f>IF(M18&gt;1000,"ACB","MCCB")</f>
        <v>MCCB</v>
      </c>
      <c r="R18" s="57">
        <f>_xlfn.XLOOKUP(M18,'LOOKUP VALUES'!$D$1:$D$8,'LOOKUP VALUES'!$E$1:$E$8,,1,1)</f>
        <v>0.04</v>
      </c>
      <c r="S18" s="56">
        <f>(N18)/R18</f>
        <v>3529.9948523822231</v>
      </c>
      <c r="T18" s="56" t="str">
        <f>_xlfn.XLOOKUP(S18,'LOOKUP VALUES'!$H$2:$H$14,'LOOKUP VALUES'!$I$2:$I$14,,1,1)</f>
        <v>6-10</v>
      </c>
      <c r="V18" s="53" t="s">
        <v>133</v>
      </c>
      <c r="W18" s="54">
        <f>'STUDY AREA 3'!Y20</f>
        <v>450</v>
      </c>
      <c r="X18" s="55">
        <f>(W18*1000)/(SQRT(3)*$C$2)</f>
        <v>564.79917638115569</v>
      </c>
      <c r="Y18" s="55">
        <f>1.25*X18</f>
        <v>705.99897047644458</v>
      </c>
      <c r="Z18" s="56">
        <f>_xlfn.XLOOKUP(Y18,'LOOKUP VALUES'!$A$2:$A$30,'LOOKUP VALUES'!$B$2:$B$30,,1,1)</f>
        <v>800</v>
      </c>
      <c r="AA18" s="56" t="str">
        <f>IF(W18&gt;1000,"ACB","MCCB")</f>
        <v>MCCB</v>
      </c>
      <c r="AB18" s="57">
        <f>_xlfn.XLOOKUP(W18,'LOOKUP VALUES'!$D$1:$D$8,'LOOKUP VALUES'!$E$1:$E$8,,1,1)</f>
        <v>0.05</v>
      </c>
      <c r="AC18" s="56">
        <f>(X18)/AB18</f>
        <v>11295.983527623113</v>
      </c>
      <c r="AD18" s="56" t="str">
        <f>_xlfn.XLOOKUP(AC18,'LOOKUP VALUES'!$H$2:$H$14,'LOOKUP VALUES'!$I$2:$I$14,,1,1)</f>
        <v>15-18</v>
      </c>
      <c r="AF18" s="53" t="s">
        <v>133</v>
      </c>
      <c r="AG18" s="54">
        <f>'STUDY AREA 4'!Y21</f>
        <v>600</v>
      </c>
      <c r="AH18" s="55">
        <f>(AG18*1000)/(SQRT(3)*$C$2)</f>
        <v>753.06556850820755</v>
      </c>
      <c r="AI18" s="55">
        <f>1.25*AH18</f>
        <v>941.33196063525941</v>
      </c>
      <c r="AJ18" s="56">
        <f>_xlfn.XLOOKUP(AI18,'LOOKUP VALUES'!$A$2:$A$30,'LOOKUP VALUES'!$B$2:$B$30,,1,1)</f>
        <v>1000</v>
      </c>
      <c r="AK18" s="56" t="str">
        <f>IF(AG18&gt;1000,"ACB","MCCB")</f>
        <v>MCCB</v>
      </c>
      <c r="AL18" s="57">
        <f>_xlfn.XLOOKUP(AG18,'LOOKUP VALUES'!$D$1:$D$8,'LOOKUP VALUES'!$E$1:$E$8,,1,1)</f>
        <v>0.05</v>
      </c>
      <c r="AM18" s="56">
        <f>(AH18)/AL18</f>
        <v>15061.311370164151</v>
      </c>
      <c r="AN18" s="56" t="str">
        <f>_xlfn.XLOOKUP(AM18,'LOOKUP VALUES'!$H$2:$H$14,'LOOKUP VALUES'!$I$2:$I$14,,1,1)</f>
        <v>25-35</v>
      </c>
    </row>
    <row r="19" spans="2:40" ht="15.6" x14ac:dyDescent="0.35">
      <c r="B19" s="50"/>
      <c r="C19" s="56"/>
      <c r="D19" s="52" t="s">
        <v>130</v>
      </c>
      <c r="E19" s="52" t="s">
        <v>131</v>
      </c>
      <c r="F19" s="52" t="s">
        <v>124</v>
      </c>
      <c r="G19" s="52" t="s">
        <v>125</v>
      </c>
      <c r="H19" s="52" t="s">
        <v>126</v>
      </c>
      <c r="I19" s="52" t="s">
        <v>127</v>
      </c>
      <c r="J19" s="52" t="s">
        <v>128</v>
      </c>
      <c r="L19" s="50"/>
      <c r="M19" s="56"/>
      <c r="N19" s="52" t="s">
        <v>130</v>
      </c>
      <c r="O19" s="52" t="s">
        <v>131</v>
      </c>
      <c r="P19" s="52" t="s">
        <v>124</v>
      </c>
      <c r="Q19" s="52" t="s">
        <v>125</v>
      </c>
      <c r="R19" s="52" t="s">
        <v>126</v>
      </c>
      <c r="S19" s="52" t="s">
        <v>127</v>
      </c>
      <c r="T19" s="52" t="s">
        <v>128</v>
      </c>
      <c r="V19" s="50"/>
      <c r="W19" s="56"/>
      <c r="X19" s="52" t="s">
        <v>130</v>
      </c>
      <c r="Y19" s="52" t="s">
        <v>131</v>
      </c>
      <c r="Z19" s="52" t="s">
        <v>124</v>
      </c>
      <c r="AA19" s="52" t="s">
        <v>125</v>
      </c>
      <c r="AB19" s="52" t="s">
        <v>126</v>
      </c>
      <c r="AC19" s="52" t="s">
        <v>127</v>
      </c>
      <c r="AD19" s="52" t="s">
        <v>128</v>
      </c>
      <c r="AF19" s="50"/>
      <c r="AG19" s="56"/>
      <c r="AH19" s="52" t="s">
        <v>130</v>
      </c>
      <c r="AI19" s="52" t="s">
        <v>131</v>
      </c>
      <c r="AJ19" s="52" t="s">
        <v>124</v>
      </c>
      <c r="AK19" s="52" t="s">
        <v>125</v>
      </c>
      <c r="AL19" s="52" t="s">
        <v>126</v>
      </c>
      <c r="AM19" s="52" t="s">
        <v>127</v>
      </c>
      <c r="AN19" s="52" t="s">
        <v>128</v>
      </c>
    </row>
    <row r="20" spans="2:40" x14ac:dyDescent="0.3">
      <c r="B20" s="50"/>
      <c r="C20" s="56"/>
      <c r="D20" s="55">
        <f>(C18*1000)/(SQRT(3)*$C$3)</f>
        <v>2510.2185616940251</v>
      </c>
      <c r="E20" s="55">
        <f>1.25*D20</f>
        <v>3137.7732021175316</v>
      </c>
      <c r="F20" s="56">
        <f>_xlfn.XLOOKUP(E20,'LOOKUP VALUES'!$A$2:$A$30,'LOOKUP VALUES'!$B$2:$B$30,,1,1)</f>
        <v>4000</v>
      </c>
      <c r="G20" s="56" t="str">
        <f>IF(C18&gt;1000,"ACB","MCCB")</f>
        <v>MCCB</v>
      </c>
      <c r="H20" s="57">
        <f>_xlfn.XLOOKUP(C18,'LOOKUP VALUES'!$D$1:$D$8,'LOOKUP VALUES'!$E$1:$E$8,,1,1)</f>
        <v>0.06</v>
      </c>
      <c r="I20" s="56">
        <f>(D20)/H20</f>
        <v>41836.976028233752</v>
      </c>
      <c r="J20" s="56" t="str">
        <f>_xlfn.XLOOKUP(I20,'LOOKUP VALUES'!$H$2:$H$14,'LOOKUP VALUES'!$I$2:$I$14,,1,1)</f>
        <v>60</v>
      </c>
      <c r="L20" s="50"/>
      <c r="M20" s="56"/>
      <c r="N20" s="55">
        <f>(M18*1000)/(SQRT(3)*$C$3)</f>
        <v>282.39958819057784</v>
      </c>
      <c r="O20" s="55">
        <f>1.25*N20</f>
        <v>352.99948523822229</v>
      </c>
      <c r="P20" s="56">
        <f>_xlfn.XLOOKUP(O20,'LOOKUP VALUES'!$A$2:$A$30,'LOOKUP VALUES'!$B$2:$B$30,,1,1)</f>
        <v>400</v>
      </c>
      <c r="Q20" s="56" t="str">
        <f>IF(M18&gt;1000,"ACB","MCCB")</f>
        <v>MCCB</v>
      </c>
      <c r="R20" s="57">
        <f>_xlfn.XLOOKUP(M18,'LOOKUP VALUES'!$D$1:$D$8,'LOOKUP VALUES'!$E$1:$E$8,,1,1)</f>
        <v>0.04</v>
      </c>
      <c r="S20" s="56">
        <f>(N20)/R20</f>
        <v>7059.9897047644463</v>
      </c>
      <c r="T20" s="56">
        <f>_xlfn.XLOOKUP(S20,'LOOKUP VALUES'!$H$2:$H$14,'LOOKUP VALUES'!$I$2:$I$14,,1,1)</f>
        <v>10</v>
      </c>
      <c r="V20" s="50"/>
      <c r="W20" s="56"/>
      <c r="X20" s="55">
        <f>(W18*1000)/(SQRT(3)*$C$3)</f>
        <v>1129.5983527623114</v>
      </c>
      <c r="Y20" s="55">
        <f>1.25*X20</f>
        <v>1411.9979409528892</v>
      </c>
      <c r="Z20" s="56">
        <f>_xlfn.XLOOKUP(Y20,'LOOKUP VALUES'!$A$2:$A$30,'LOOKUP VALUES'!$B$2:$B$30,,1,1)</f>
        <v>1600</v>
      </c>
      <c r="AA20" s="56" t="str">
        <f>IF(W18&gt;1000,"ACB","MCCB")</f>
        <v>MCCB</v>
      </c>
      <c r="AB20" s="57">
        <f>_xlfn.XLOOKUP(W18,'LOOKUP VALUES'!$D$1:$D$8,'LOOKUP VALUES'!$E$1:$E$8,,1,1)</f>
        <v>0.05</v>
      </c>
      <c r="AC20" s="56">
        <f>(X20)/AB20</f>
        <v>22591.967055246227</v>
      </c>
      <c r="AD20" s="56" t="str">
        <f>_xlfn.XLOOKUP(AC20,'LOOKUP VALUES'!$H$2:$H$14,'LOOKUP VALUES'!$I$2:$I$14,,1,1)</f>
        <v>25-35</v>
      </c>
      <c r="AF20" s="50"/>
      <c r="AG20" s="56"/>
      <c r="AH20" s="55">
        <f>(AG18*1000)/(SQRT(3)*$C$3)</f>
        <v>1506.1311370164151</v>
      </c>
      <c r="AI20" s="55">
        <f>1.25*AH20</f>
        <v>1882.6639212705188</v>
      </c>
      <c r="AJ20" s="56">
        <f>_xlfn.XLOOKUP(AI20,'LOOKUP VALUES'!$A$2:$A$30,'LOOKUP VALUES'!$B$2:$B$30,,1,1)</f>
        <v>2000</v>
      </c>
      <c r="AK20" s="56" t="str">
        <f>IF(AG18&gt;1000,"ACB","MCCB")</f>
        <v>MCCB</v>
      </c>
      <c r="AL20" s="57">
        <f>_xlfn.XLOOKUP(AG18,'LOOKUP VALUES'!$D$1:$D$8,'LOOKUP VALUES'!$E$1:$E$8,,1,1)</f>
        <v>0.05</v>
      </c>
      <c r="AM20" s="56">
        <f>(AH20)/AL20</f>
        <v>30122.622740328301</v>
      </c>
      <c r="AN20" s="56" t="str">
        <f>_xlfn.XLOOKUP(AM20,'LOOKUP VALUES'!$H$2:$H$14,'LOOKUP VALUES'!$I$2:$I$14,,1,1)</f>
        <v>60</v>
      </c>
    </row>
    <row r="21" spans="2:40" x14ac:dyDescent="0.3">
      <c r="B21" s="50"/>
      <c r="C21" s="50"/>
      <c r="D21" s="50"/>
      <c r="E21" s="50"/>
      <c r="F21" s="50"/>
      <c r="G21" s="50"/>
      <c r="H21" s="50"/>
      <c r="I21" s="50"/>
      <c r="J21" s="50"/>
      <c r="L21" s="50"/>
      <c r="M21" s="50"/>
      <c r="N21" s="50"/>
      <c r="O21" s="50"/>
      <c r="P21" s="50"/>
      <c r="Q21" s="50"/>
      <c r="R21" s="50"/>
      <c r="S21" s="50"/>
      <c r="T21" s="50"/>
      <c r="V21" s="50"/>
      <c r="W21" s="50"/>
      <c r="X21" s="50"/>
      <c r="Y21" s="50"/>
      <c r="Z21" s="50"/>
      <c r="AA21" s="50"/>
      <c r="AB21" s="50"/>
      <c r="AC21" s="50"/>
      <c r="AD21" s="50"/>
      <c r="AF21" s="50"/>
      <c r="AG21" s="50"/>
      <c r="AH21" s="50"/>
      <c r="AI21" s="50"/>
      <c r="AJ21" s="50"/>
      <c r="AK21" s="50"/>
      <c r="AL21" s="50"/>
      <c r="AM21" s="50"/>
      <c r="AN21" s="50"/>
    </row>
    <row r="22" spans="2:40" ht="15.6" x14ac:dyDescent="0.35">
      <c r="B22" s="50"/>
      <c r="C22" s="52" t="s">
        <v>77</v>
      </c>
      <c r="D22" s="52" t="s">
        <v>122</v>
      </c>
      <c r="E22" s="52" t="s">
        <v>123</v>
      </c>
      <c r="F22" s="52" t="s">
        <v>124</v>
      </c>
      <c r="G22" s="52" t="s">
        <v>125</v>
      </c>
      <c r="H22" s="52" t="s">
        <v>126</v>
      </c>
      <c r="I22" s="52" t="s">
        <v>127</v>
      </c>
      <c r="J22" s="52" t="s">
        <v>128</v>
      </c>
      <c r="L22" s="50"/>
      <c r="M22" s="52" t="s">
        <v>77</v>
      </c>
      <c r="N22" s="52" t="s">
        <v>122</v>
      </c>
      <c r="O22" s="52" t="s">
        <v>123</v>
      </c>
      <c r="P22" s="52" t="s">
        <v>124</v>
      </c>
      <c r="Q22" s="52" t="s">
        <v>125</v>
      </c>
      <c r="R22" s="52" t="s">
        <v>126</v>
      </c>
      <c r="S22" s="52" t="s">
        <v>127</v>
      </c>
      <c r="T22" s="52" t="s">
        <v>128</v>
      </c>
      <c r="V22" s="50"/>
      <c r="W22" s="52" t="s">
        <v>77</v>
      </c>
      <c r="X22" s="52" t="s">
        <v>122</v>
      </c>
      <c r="Y22" s="52" t="s">
        <v>123</v>
      </c>
      <c r="Z22" s="52" t="s">
        <v>124</v>
      </c>
      <c r="AA22" s="52" t="s">
        <v>125</v>
      </c>
      <c r="AB22" s="52" t="s">
        <v>126</v>
      </c>
      <c r="AC22" s="52" t="s">
        <v>127</v>
      </c>
      <c r="AD22" s="52" t="s">
        <v>128</v>
      </c>
      <c r="AF22" s="50"/>
      <c r="AG22" s="52" t="s">
        <v>77</v>
      </c>
      <c r="AH22" s="52" t="s">
        <v>122</v>
      </c>
      <c r="AI22" s="52" t="s">
        <v>123</v>
      </c>
      <c r="AJ22" s="52" t="s">
        <v>124</v>
      </c>
      <c r="AK22" s="52" t="s">
        <v>125</v>
      </c>
      <c r="AL22" s="52" t="s">
        <v>126</v>
      </c>
      <c r="AM22" s="52" t="s">
        <v>127</v>
      </c>
      <c r="AN22" s="52" t="s">
        <v>128</v>
      </c>
    </row>
    <row r="23" spans="2:40" ht="15.6" x14ac:dyDescent="0.35">
      <c r="B23" s="53" t="s">
        <v>134</v>
      </c>
      <c r="C23" s="54">
        <f>'STUDY AREA 1'!Y29</f>
        <v>225</v>
      </c>
      <c r="D23" s="55">
        <f>(C23*1000)/(SQRT(3)*$C$2)</f>
        <v>282.39958819057784</v>
      </c>
      <c r="E23" s="55">
        <f>1.25*D23</f>
        <v>352.99948523822229</v>
      </c>
      <c r="F23" s="56">
        <f>_xlfn.XLOOKUP(E23,'LOOKUP VALUES'!$A$2:$A$30,'LOOKUP VALUES'!$B$2:$B$30,,1,1)</f>
        <v>400</v>
      </c>
      <c r="G23" s="56" t="str">
        <f>IF(C23&gt;1000,"ACB","MCCB")</f>
        <v>MCCB</v>
      </c>
      <c r="H23" s="57">
        <f>_xlfn.XLOOKUP(C23,'LOOKUP VALUES'!$D$1:$D$8,'LOOKUP VALUES'!$E$1:$E$8,,1,1)</f>
        <v>0.04</v>
      </c>
      <c r="I23" s="56">
        <f>(D23)/H23</f>
        <v>7059.9897047644463</v>
      </c>
      <c r="J23" s="56">
        <f>_xlfn.XLOOKUP(I23,'LOOKUP VALUES'!$H$2:$H$14,'LOOKUP VALUES'!$I$2:$I$14,,1,1)</f>
        <v>10</v>
      </c>
      <c r="L23" s="53" t="s">
        <v>134</v>
      </c>
      <c r="M23" s="54">
        <f>'STUDY AREA 2'!Y28</f>
        <v>150</v>
      </c>
      <c r="N23" s="55">
        <f>(M23*1000)/(SQRT(3)*$C$2)</f>
        <v>188.26639212705189</v>
      </c>
      <c r="O23" s="55">
        <f>1.25*N23</f>
        <v>235.33299015881485</v>
      </c>
      <c r="P23" s="56">
        <f>_xlfn.XLOOKUP(O23,'LOOKUP VALUES'!$A$2:$A$30,'LOOKUP VALUES'!$B$2:$B$30,,1,1)</f>
        <v>250</v>
      </c>
      <c r="Q23" s="56" t="str">
        <f>IF(M23&gt;1000,"ACB","MCCB")</f>
        <v>MCCB</v>
      </c>
      <c r="R23" s="57">
        <f>_xlfn.XLOOKUP(M23,'LOOKUP VALUES'!$D$1:$D$8,'LOOKUP VALUES'!$E$1:$E$8,,1,1)</f>
        <v>0.04</v>
      </c>
      <c r="S23" s="56">
        <f>(N23)/R23</f>
        <v>4706.6598031762969</v>
      </c>
      <c r="T23" s="56">
        <f>_xlfn.XLOOKUP(S23,'LOOKUP VALUES'!$H$2:$H$14,'LOOKUP VALUES'!$I$2:$I$14,,1,1)</f>
        <v>10</v>
      </c>
      <c r="V23" s="53" t="s">
        <v>134</v>
      </c>
      <c r="W23" s="54">
        <f>'STUDY AREA 3'!Y28</f>
        <v>225</v>
      </c>
      <c r="X23" s="55">
        <f>(W23*1000)/(SQRT(3)*$C$2)</f>
        <v>282.39958819057784</v>
      </c>
      <c r="Y23" s="55">
        <f>1.25*X23</f>
        <v>352.99948523822229</v>
      </c>
      <c r="Z23" s="56">
        <f>_xlfn.XLOOKUP(Y23,'LOOKUP VALUES'!$A$2:$A$30,'LOOKUP VALUES'!$B$2:$B$30,,1,1)</f>
        <v>400</v>
      </c>
      <c r="AA23" s="56" t="str">
        <f>IF(W23&gt;1000,"ACB","MCCB")</f>
        <v>MCCB</v>
      </c>
      <c r="AB23" s="57">
        <f>_xlfn.XLOOKUP(W23,'LOOKUP VALUES'!$D$1:$D$8,'LOOKUP VALUES'!$E$1:$E$8,,1,1)</f>
        <v>0.04</v>
      </c>
      <c r="AC23" s="56">
        <f>(X23)/AB23</f>
        <v>7059.9897047644463</v>
      </c>
      <c r="AD23" s="56">
        <f>_xlfn.XLOOKUP(AC23,'LOOKUP VALUES'!$H$2:$H$14,'LOOKUP VALUES'!$I$2:$I$14,,1,1)</f>
        <v>10</v>
      </c>
      <c r="AF23" s="53" t="s">
        <v>134</v>
      </c>
      <c r="AG23" s="54">
        <f>'STUDY AREA 4'!Y29</f>
        <v>225</v>
      </c>
      <c r="AH23" s="55">
        <f>(AG23*1000)/(SQRT(3)*$C$2)</f>
        <v>282.39958819057784</v>
      </c>
      <c r="AI23" s="55">
        <f>1.25*AH23</f>
        <v>352.99948523822229</v>
      </c>
      <c r="AJ23" s="56">
        <f>_xlfn.XLOOKUP(AI23,'LOOKUP VALUES'!$A$2:$A$30,'LOOKUP VALUES'!$B$2:$B$30,,1,1)</f>
        <v>400</v>
      </c>
      <c r="AK23" s="56" t="str">
        <f>IF(AG23&gt;1000,"ACB","MCCB")</f>
        <v>MCCB</v>
      </c>
      <c r="AL23" s="57">
        <f>_xlfn.XLOOKUP(AG23,'LOOKUP VALUES'!$D$1:$D$8,'LOOKUP VALUES'!$E$1:$E$8,,1,1)</f>
        <v>0.04</v>
      </c>
      <c r="AM23" s="56">
        <f>(AH23)/AL23</f>
        <v>7059.9897047644463</v>
      </c>
      <c r="AN23" s="56">
        <f>_xlfn.XLOOKUP(AM23,'LOOKUP VALUES'!$H$2:$H$14,'LOOKUP VALUES'!$I$2:$I$14,,1,1)</f>
        <v>10</v>
      </c>
    </row>
    <row r="24" spans="2:40" ht="15.6" x14ac:dyDescent="0.35">
      <c r="B24" s="50"/>
      <c r="C24" s="56"/>
      <c r="D24" s="52" t="s">
        <v>130</v>
      </c>
      <c r="E24" s="52" t="s">
        <v>131</v>
      </c>
      <c r="F24" s="52" t="s">
        <v>124</v>
      </c>
      <c r="G24" s="52" t="s">
        <v>125</v>
      </c>
      <c r="H24" s="52" t="s">
        <v>126</v>
      </c>
      <c r="I24" s="52" t="s">
        <v>127</v>
      </c>
      <c r="J24" s="52" t="s">
        <v>128</v>
      </c>
      <c r="L24" s="50"/>
      <c r="M24" s="56"/>
      <c r="N24" s="52" t="s">
        <v>130</v>
      </c>
      <c r="O24" s="52" t="s">
        <v>131</v>
      </c>
      <c r="P24" s="52" t="s">
        <v>124</v>
      </c>
      <c r="Q24" s="52" t="s">
        <v>125</v>
      </c>
      <c r="R24" s="52" t="s">
        <v>126</v>
      </c>
      <c r="S24" s="52" t="s">
        <v>127</v>
      </c>
      <c r="T24" s="52" t="s">
        <v>128</v>
      </c>
      <c r="V24" s="50"/>
      <c r="W24" s="56"/>
      <c r="X24" s="52" t="s">
        <v>130</v>
      </c>
      <c r="Y24" s="52" t="s">
        <v>131</v>
      </c>
      <c r="Z24" s="52" t="s">
        <v>124</v>
      </c>
      <c r="AA24" s="52" t="s">
        <v>125</v>
      </c>
      <c r="AB24" s="52" t="s">
        <v>126</v>
      </c>
      <c r="AC24" s="52" t="s">
        <v>127</v>
      </c>
      <c r="AD24" s="52" t="s">
        <v>128</v>
      </c>
      <c r="AF24" s="50"/>
      <c r="AG24" s="56"/>
      <c r="AH24" s="52" t="s">
        <v>130</v>
      </c>
      <c r="AI24" s="52" t="s">
        <v>131</v>
      </c>
      <c r="AJ24" s="52" t="s">
        <v>124</v>
      </c>
      <c r="AK24" s="52" t="s">
        <v>125</v>
      </c>
      <c r="AL24" s="52" t="s">
        <v>126</v>
      </c>
      <c r="AM24" s="52" t="s">
        <v>127</v>
      </c>
      <c r="AN24" s="52" t="s">
        <v>128</v>
      </c>
    </row>
    <row r="25" spans="2:40" x14ac:dyDescent="0.3">
      <c r="B25" s="50"/>
      <c r="C25" s="56"/>
      <c r="D25" s="55">
        <f>(C23*1000)/(SQRT(3)*$C$3)</f>
        <v>564.79917638115569</v>
      </c>
      <c r="E25" s="55">
        <f>1.25*D25</f>
        <v>705.99897047644458</v>
      </c>
      <c r="F25" s="56">
        <f>_xlfn.XLOOKUP(E25,'LOOKUP VALUES'!$A$2:$A$30,'LOOKUP VALUES'!$B$2:$B$30,,1,1)</f>
        <v>800</v>
      </c>
      <c r="G25" s="56" t="str">
        <f>IF(C23&gt;1000,"ACB","MCCB")</f>
        <v>MCCB</v>
      </c>
      <c r="H25" s="57">
        <f>_xlfn.XLOOKUP(C23,'LOOKUP VALUES'!$D$1:$D$8,'LOOKUP VALUES'!$E$1:$E$8,,1,1)</f>
        <v>0.04</v>
      </c>
      <c r="I25" s="56">
        <f>(D25)/H25</f>
        <v>14119.979409528893</v>
      </c>
      <c r="J25" s="56" t="str">
        <f>_xlfn.XLOOKUP(I25,'LOOKUP VALUES'!$H$2:$H$14,'LOOKUP VALUES'!$I$2:$I$14,,1,1)</f>
        <v>25-35</v>
      </c>
      <c r="L25" s="50"/>
      <c r="M25" s="56"/>
      <c r="N25" s="55">
        <f>(M23*1000)/(SQRT(3)*$C$3)</f>
        <v>376.53278425410377</v>
      </c>
      <c r="O25" s="55">
        <f>1.25*N25</f>
        <v>470.6659803176297</v>
      </c>
      <c r="P25" s="56">
        <f>_xlfn.XLOOKUP(O25,'LOOKUP VALUES'!$A$2:$A$30,'LOOKUP VALUES'!$B$2:$B$30,,1,1)</f>
        <v>500</v>
      </c>
      <c r="Q25" s="56" t="str">
        <f>IF(M23&gt;1000,"ACB","MCCB")</f>
        <v>MCCB</v>
      </c>
      <c r="R25" s="57">
        <f>_xlfn.XLOOKUP(M23,'LOOKUP VALUES'!$D$1:$D$8,'LOOKUP VALUES'!$E$1:$E$8,,1,1)</f>
        <v>0.04</v>
      </c>
      <c r="S25" s="56">
        <f>(N25)/R25</f>
        <v>9413.3196063525938</v>
      </c>
      <c r="T25" s="56" t="str">
        <f>_xlfn.XLOOKUP(S25,'LOOKUP VALUES'!$H$2:$H$14,'LOOKUP VALUES'!$I$2:$I$14,,1,1)</f>
        <v>15-18</v>
      </c>
      <c r="V25" s="50"/>
      <c r="W25" s="56"/>
      <c r="X25" s="55">
        <f>(W23*1000)/(SQRT(3)*$C$3)</f>
        <v>564.79917638115569</v>
      </c>
      <c r="Y25" s="55">
        <f>1.25*X25</f>
        <v>705.99897047644458</v>
      </c>
      <c r="Z25" s="56">
        <f>_xlfn.XLOOKUP(Y25,'LOOKUP VALUES'!$A$2:$A$30,'LOOKUP VALUES'!$B$2:$B$30,,1,1)</f>
        <v>800</v>
      </c>
      <c r="AA25" s="56" t="str">
        <f>IF(W23&gt;1000,"ACB","MCCB")</f>
        <v>MCCB</v>
      </c>
      <c r="AB25" s="57">
        <f>_xlfn.XLOOKUP(W23,'LOOKUP VALUES'!$D$1:$D$8,'LOOKUP VALUES'!$E$1:$E$8,,1,1)</f>
        <v>0.04</v>
      </c>
      <c r="AC25" s="56">
        <f>(X25)/AB25</f>
        <v>14119.979409528893</v>
      </c>
      <c r="AD25" s="56" t="str">
        <f>_xlfn.XLOOKUP(AC25,'LOOKUP VALUES'!$H$2:$H$14,'LOOKUP VALUES'!$I$2:$I$14,,1,1)</f>
        <v>25-35</v>
      </c>
      <c r="AF25" s="50"/>
      <c r="AG25" s="56"/>
      <c r="AH25" s="55">
        <f>(AG23*1000)/(SQRT(3)*$C$3)</f>
        <v>564.79917638115569</v>
      </c>
      <c r="AI25" s="55">
        <f>1.25*AH25</f>
        <v>705.99897047644458</v>
      </c>
      <c r="AJ25" s="56">
        <f>_xlfn.XLOOKUP(AI25,'LOOKUP VALUES'!$A$2:$A$30,'LOOKUP VALUES'!$B$2:$B$30,,1,1)</f>
        <v>800</v>
      </c>
      <c r="AK25" s="56" t="str">
        <f>IF(AG23&gt;1000,"ACB","MCCB")</f>
        <v>MCCB</v>
      </c>
      <c r="AL25" s="57">
        <f>_xlfn.XLOOKUP(AG23,'LOOKUP VALUES'!$D$1:$D$8,'LOOKUP VALUES'!$E$1:$E$8,,1,1)</f>
        <v>0.04</v>
      </c>
      <c r="AM25" s="56">
        <f>(AH25)/AL25</f>
        <v>14119.979409528893</v>
      </c>
      <c r="AN25" s="56" t="str">
        <f>_xlfn.XLOOKUP(AM25,'LOOKUP VALUES'!$H$2:$H$14,'LOOKUP VALUES'!$I$2:$I$14,,1,1)</f>
        <v>25-35</v>
      </c>
    </row>
    <row r="26" spans="2:40" x14ac:dyDescent="0.3">
      <c r="B26" s="51"/>
      <c r="C26" s="50"/>
      <c r="D26" s="50"/>
      <c r="E26" s="50"/>
      <c r="F26" s="50"/>
      <c r="G26" s="50"/>
      <c r="H26" s="50"/>
      <c r="I26" s="50"/>
      <c r="J26" s="50"/>
      <c r="L26" s="51"/>
      <c r="M26" s="50"/>
      <c r="N26" s="50"/>
      <c r="O26" s="50"/>
      <c r="P26" s="50"/>
      <c r="Q26" s="50"/>
      <c r="R26" s="50"/>
      <c r="S26" s="50"/>
      <c r="T26" s="50"/>
      <c r="V26" s="51"/>
      <c r="W26" s="50"/>
      <c r="X26" s="50"/>
      <c r="Y26" s="50"/>
      <c r="Z26" s="50"/>
      <c r="AA26" s="50"/>
      <c r="AB26" s="50"/>
      <c r="AC26" s="50"/>
      <c r="AD26" s="50"/>
      <c r="AF26" s="51"/>
      <c r="AG26" s="50"/>
      <c r="AH26" s="50"/>
      <c r="AI26" s="50"/>
      <c r="AJ26" s="50"/>
      <c r="AK26" s="50"/>
      <c r="AL26" s="50"/>
      <c r="AM26" s="50"/>
      <c r="AN26" s="50"/>
    </row>
    <row r="27" spans="2:40" ht="15.6" x14ac:dyDescent="0.35">
      <c r="B27" s="50"/>
      <c r="C27" s="52" t="s">
        <v>77</v>
      </c>
      <c r="D27" s="52" t="s">
        <v>122</v>
      </c>
      <c r="E27" s="52" t="s">
        <v>123</v>
      </c>
      <c r="F27" s="52" t="s">
        <v>124</v>
      </c>
      <c r="G27" s="52" t="s">
        <v>125</v>
      </c>
      <c r="H27" s="52" t="s">
        <v>126</v>
      </c>
      <c r="I27" s="52" t="s">
        <v>127</v>
      </c>
      <c r="J27" s="52" t="s">
        <v>128</v>
      </c>
      <c r="L27" s="50"/>
      <c r="M27" s="52" t="s">
        <v>77</v>
      </c>
      <c r="N27" s="52" t="s">
        <v>122</v>
      </c>
      <c r="O27" s="52" t="s">
        <v>123</v>
      </c>
      <c r="P27" s="52" t="s">
        <v>124</v>
      </c>
      <c r="Q27" s="52" t="s">
        <v>125</v>
      </c>
      <c r="R27" s="52" t="s">
        <v>126</v>
      </c>
      <c r="S27" s="52" t="s">
        <v>127</v>
      </c>
      <c r="T27" s="52" t="s">
        <v>128</v>
      </c>
      <c r="V27" s="50"/>
      <c r="W27" s="52" t="s">
        <v>77</v>
      </c>
      <c r="X27" s="52" t="s">
        <v>122</v>
      </c>
      <c r="Y27" s="52" t="s">
        <v>123</v>
      </c>
      <c r="Z27" s="52" t="s">
        <v>124</v>
      </c>
      <c r="AA27" s="52" t="s">
        <v>125</v>
      </c>
      <c r="AB27" s="52" t="s">
        <v>126</v>
      </c>
      <c r="AC27" s="52" t="s">
        <v>127</v>
      </c>
      <c r="AD27" s="52" t="s">
        <v>128</v>
      </c>
      <c r="AF27" s="50"/>
      <c r="AG27" s="52" t="s">
        <v>77</v>
      </c>
      <c r="AH27" s="52" t="s">
        <v>122</v>
      </c>
      <c r="AI27" s="52" t="s">
        <v>123</v>
      </c>
      <c r="AJ27" s="52" t="s">
        <v>124</v>
      </c>
      <c r="AK27" s="52" t="s">
        <v>125</v>
      </c>
      <c r="AL27" s="52" t="s">
        <v>126</v>
      </c>
      <c r="AM27" s="52" t="s">
        <v>127</v>
      </c>
      <c r="AN27" s="52" t="s">
        <v>128</v>
      </c>
    </row>
    <row r="28" spans="2:40" ht="15.6" x14ac:dyDescent="0.35">
      <c r="B28" s="53" t="s">
        <v>135</v>
      </c>
      <c r="C28" s="54">
        <f>'STUDY AREA 1'!Y37</f>
        <v>300</v>
      </c>
      <c r="D28" s="55">
        <f>(C28*1000)/(SQRT(3)*$C$2)</f>
        <v>376.53278425410377</v>
      </c>
      <c r="E28" s="55">
        <f>1.25*D28</f>
        <v>470.6659803176297</v>
      </c>
      <c r="F28" s="56">
        <f>_xlfn.XLOOKUP(E28,'LOOKUP VALUES'!$A$2:$A$30,'LOOKUP VALUES'!$B$2:$B$30,,1,1)</f>
        <v>500</v>
      </c>
      <c r="G28" s="56" t="str">
        <f>IF(C28&gt;1000,"ACB","MCCB")</f>
        <v>MCCB</v>
      </c>
      <c r="H28" s="57">
        <f>_xlfn.XLOOKUP(C28,'LOOKUP VALUES'!$D$1:$D$8,'LOOKUP VALUES'!$E$1:$E$8,,1,1)</f>
        <v>0.04</v>
      </c>
      <c r="I28" s="56">
        <f>(D28)/H28</f>
        <v>9413.3196063525938</v>
      </c>
      <c r="J28" s="56" t="str">
        <f>_xlfn.XLOOKUP(I28,'LOOKUP VALUES'!$H$2:$H$14,'LOOKUP VALUES'!$I$2:$I$14,,1,1)</f>
        <v>15-18</v>
      </c>
      <c r="L28" s="53" t="s">
        <v>135</v>
      </c>
      <c r="M28" s="54">
        <f>'STUDY AREA 2'!Y36</f>
        <v>112.5</v>
      </c>
      <c r="N28" s="55">
        <f>(M28*1000)/(SQRT(3)*$C$2)</f>
        <v>141.19979409528892</v>
      </c>
      <c r="O28" s="55">
        <f>1.25*N28</f>
        <v>176.49974261911115</v>
      </c>
      <c r="P28" s="56">
        <f>_xlfn.XLOOKUP(O28,'LOOKUP VALUES'!$A$2:$A$30,'LOOKUP VALUES'!$B$2:$B$30,,1,1)</f>
        <v>200</v>
      </c>
      <c r="Q28" s="56" t="str">
        <f>IF(M28&gt;1000,"ACB","MCCB")</f>
        <v>MCCB</v>
      </c>
      <c r="R28" s="57">
        <f>_xlfn.XLOOKUP(M28,'LOOKUP VALUES'!$D$1:$D$8,'LOOKUP VALUES'!$E$1:$E$8,,1,1)</f>
        <v>0.04</v>
      </c>
      <c r="S28" s="56">
        <f>(N28)/R28</f>
        <v>3529.9948523822231</v>
      </c>
      <c r="T28" s="56" t="str">
        <f>_xlfn.XLOOKUP(S28,'LOOKUP VALUES'!$H$2:$H$14,'LOOKUP VALUES'!$I$2:$I$14,,1,1)</f>
        <v>6-10</v>
      </c>
      <c r="V28" s="53" t="s">
        <v>135</v>
      </c>
      <c r="W28" s="54">
        <f>'STUDY AREA 3'!Y36</f>
        <v>225</v>
      </c>
      <c r="X28" s="55">
        <f>(W28*1000)/(SQRT(3)*$C$2)</f>
        <v>282.39958819057784</v>
      </c>
      <c r="Y28" s="55">
        <f>1.25*X28</f>
        <v>352.99948523822229</v>
      </c>
      <c r="Z28" s="56">
        <f>_xlfn.XLOOKUP(Y28,'LOOKUP VALUES'!$A$2:$A$30,'LOOKUP VALUES'!$B$2:$B$30,,1,1)</f>
        <v>400</v>
      </c>
      <c r="AA28" s="56" t="str">
        <f>IF(W28&gt;1000,"ACB","MCCB")</f>
        <v>MCCB</v>
      </c>
      <c r="AB28" s="57">
        <f>_xlfn.XLOOKUP(W28,'LOOKUP VALUES'!$D$1:$D$8,'LOOKUP VALUES'!$E$1:$E$8,,1,1)</f>
        <v>0.04</v>
      </c>
      <c r="AC28" s="56">
        <f>(X28)/AB28</f>
        <v>7059.9897047644463</v>
      </c>
      <c r="AD28" s="56">
        <f>_xlfn.XLOOKUP(AC28,'LOOKUP VALUES'!$H$2:$H$14,'LOOKUP VALUES'!$I$2:$I$14,,1,1)</f>
        <v>10</v>
      </c>
      <c r="AF28" s="53" t="s">
        <v>135</v>
      </c>
      <c r="AG28" s="54">
        <f>'STUDY AREA 4'!Y37</f>
        <v>75</v>
      </c>
      <c r="AH28" s="55">
        <f>(AG28*1000)/(SQRT(3)*$C$2)</f>
        <v>94.133196063525943</v>
      </c>
      <c r="AI28" s="55">
        <f>1.25*AH28</f>
        <v>117.66649507940743</v>
      </c>
      <c r="AJ28" s="56">
        <f>_xlfn.XLOOKUP(AI28,'LOOKUP VALUES'!$A$2:$A$30,'LOOKUP VALUES'!$B$2:$B$30,,1,1)</f>
        <v>125</v>
      </c>
      <c r="AK28" s="56" t="str">
        <f>IF(AG28&gt;1000,"ACB","MCCB")</f>
        <v>MCCB</v>
      </c>
      <c r="AL28" s="57">
        <f>_xlfn.XLOOKUP(AG28,'LOOKUP VALUES'!$D$1:$D$8,'LOOKUP VALUES'!$E$1:$E$8,,1,1)</f>
        <v>0.04</v>
      </c>
      <c r="AM28" s="56">
        <f>(AH28)/AL28</f>
        <v>2353.3299015881485</v>
      </c>
      <c r="AN28" s="56" t="str">
        <f>_xlfn.XLOOKUP(AM28,'LOOKUP VALUES'!$H$2:$H$14,'LOOKUP VALUES'!$I$2:$I$14,,1,1)</f>
        <v>6-10</v>
      </c>
    </row>
    <row r="29" spans="2:40" ht="15.6" x14ac:dyDescent="0.35">
      <c r="B29" s="50"/>
      <c r="C29" s="56"/>
      <c r="D29" s="52" t="s">
        <v>130</v>
      </c>
      <c r="E29" s="52" t="s">
        <v>131</v>
      </c>
      <c r="F29" s="52" t="s">
        <v>124</v>
      </c>
      <c r="G29" s="52" t="s">
        <v>125</v>
      </c>
      <c r="H29" s="52" t="s">
        <v>126</v>
      </c>
      <c r="I29" s="52" t="s">
        <v>127</v>
      </c>
      <c r="J29" s="52" t="s">
        <v>128</v>
      </c>
      <c r="L29" s="50"/>
      <c r="M29" s="56"/>
      <c r="N29" s="52" t="s">
        <v>130</v>
      </c>
      <c r="O29" s="52" t="s">
        <v>131</v>
      </c>
      <c r="P29" s="52" t="s">
        <v>124</v>
      </c>
      <c r="Q29" s="52" t="s">
        <v>125</v>
      </c>
      <c r="R29" s="52" t="s">
        <v>126</v>
      </c>
      <c r="S29" s="52" t="s">
        <v>127</v>
      </c>
      <c r="T29" s="52" t="s">
        <v>128</v>
      </c>
      <c r="V29" s="50"/>
      <c r="W29" s="56"/>
      <c r="X29" s="52" t="s">
        <v>130</v>
      </c>
      <c r="Y29" s="52" t="s">
        <v>131</v>
      </c>
      <c r="Z29" s="52" t="s">
        <v>124</v>
      </c>
      <c r="AA29" s="52" t="s">
        <v>125</v>
      </c>
      <c r="AB29" s="52" t="s">
        <v>126</v>
      </c>
      <c r="AC29" s="52" t="s">
        <v>127</v>
      </c>
      <c r="AD29" s="52" t="s">
        <v>128</v>
      </c>
      <c r="AF29" s="50"/>
      <c r="AG29" s="56"/>
      <c r="AH29" s="52" t="s">
        <v>130</v>
      </c>
      <c r="AI29" s="52" t="s">
        <v>131</v>
      </c>
      <c r="AJ29" s="52" t="s">
        <v>124</v>
      </c>
      <c r="AK29" s="52" t="s">
        <v>125</v>
      </c>
      <c r="AL29" s="52" t="s">
        <v>126</v>
      </c>
      <c r="AM29" s="52" t="s">
        <v>127</v>
      </c>
      <c r="AN29" s="52" t="s">
        <v>128</v>
      </c>
    </row>
    <row r="30" spans="2:40" x14ac:dyDescent="0.3">
      <c r="B30" s="50"/>
      <c r="C30" s="56"/>
      <c r="D30" s="55">
        <f>(C28*1000)/(SQRT(3)*$C$3)</f>
        <v>753.06556850820755</v>
      </c>
      <c r="E30" s="55">
        <f>1.25*D30</f>
        <v>941.33196063525941</v>
      </c>
      <c r="F30" s="56">
        <f>_xlfn.XLOOKUP(E30,'LOOKUP VALUES'!$A$2:$A$30,'LOOKUP VALUES'!$B$2:$B$30,,1,1)</f>
        <v>1000</v>
      </c>
      <c r="G30" s="56" t="str">
        <f>IF(C28&gt;1000,"ACB","MCCB")</f>
        <v>MCCB</v>
      </c>
      <c r="H30" s="57">
        <f>_xlfn.XLOOKUP(C28,'LOOKUP VALUES'!$D$1:$D$8,'LOOKUP VALUES'!$E$1:$E$8,,1,1)</f>
        <v>0.04</v>
      </c>
      <c r="I30" s="56">
        <f>(D30)/H30</f>
        <v>18826.639212705188</v>
      </c>
      <c r="J30" s="56" t="str">
        <f>_xlfn.XLOOKUP(I30,'LOOKUP VALUES'!$H$2:$H$14,'LOOKUP VALUES'!$I$2:$I$14,,1,1)</f>
        <v>25-35</v>
      </c>
      <c r="L30" s="50"/>
      <c r="M30" s="56"/>
      <c r="N30" s="55">
        <f>(M28*1000)/(SQRT(3)*$C$3)</f>
        <v>282.39958819057784</v>
      </c>
      <c r="O30" s="55">
        <f>1.25*N30</f>
        <v>352.99948523822229</v>
      </c>
      <c r="P30" s="56">
        <f>_xlfn.XLOOKUP(O30,'LOOKUP VALUES'!$A$2:$A$30,'LOOKUP VALUES'!$B$2:$B$30,,1,1)</f>
        <v>400</v>
      </c>
      <c r="Q30" s="56" t="str">
        <f>IF(M28&gt;1000,"ACB","MCCB")</f>
        <v>MCCB</v>
      </c>
      <c r="R30" s="57">
        <f>_xlfn.XLOOKUP(M28,'LOOKUP VALUES'!$D$1:$D$8,'LOOKUP VALUES'!$E$1:$E$8,,1,1)</f>
        <v>0.04</v>
      </c>
      <c r="S30" s="56">
        <f>(N30)/R30</f>
        <v>7059.9897047644463</v>
      </c>
      <c r="T30" s="56">
        <f>_xlfn.XLOOKUP(S30,'LOOKUP VALUES'!$H$2:$H$14,'LOOKUP VALUES'!$I$2:$I$14,,1,1)</f>
        <v>10</v>
      </c>
      <c r="V30" s="50"/>
      <c r="W30" s="56"/>
      <c r="X30" s="55">
        <f>(W28*1000)/(SQRT(3)*$C$3)</f>
        <v>564.79917638115569</v>
      </c>
      <c r="Y30" s="55">
        <f>1.25*X30</f>
        <v>705.99897047644458</v>
      </c>
      <c r="Z30" s="56">
        <f>_xlfn.XLOOKUP(Y30,'LOOKUP VALUES'!$A$2:$A$30,'LOOKUP VALUES'!$B$2:$B$30,,1,1)</f>
        <v>800</v>
      </c>
      <c r="AA30" s="56" t="str">
        <f>IF(W28&gt;1000,"ACB","MCCB")</f>
        <v>MCCB</v>
      </c>
      <c r="AB30" s="57">
        <f>_xlfn.XLOOKUP(W28,'LOOKUP VALUES'!$D$1:$D$8,'LOOKUP VALUES'!$E$1:$E$8,,1,1)</f>
        <v>0.04</v>
      </c>
      <c r="AC30" s="56">
        <f>(X30)/AB30</f>
        <v>14119.979409528893</v>
      </c>
      <c r="AD30" s="56" t="str">
        <f>_xlfn.XLOOKUP(AC30,'LOOKUP VALUES'!$H$2:$H$14,'LOOKUP VALUES'!$I$2:$I$14,,1,1)</f>
        <v>25-35</v>
      </c>
      <c r="AF30" s="50"/>
      <c r="AG30" s="56"/>
      <c r="AH30" s="55">
        <f>(AG28*1000)/(SQRT(3)*$C$3)</f>
        <v>188.26639212705189</v>
      </c>
      <c r="AI30" s="55">
        <f>1.25*AH30</f>
        <v>235.33299015881485</v>
      </c>
      <c r="AJ30" s="56">
        <f>_xlfn.XLOOKUP(AI30,'LOOKUP VALUES'!$A$2:$A$30,'LOOKUP VALUES'!$B$2:$B$30,,1,1)</f>
        <v>250</v>
      </c>
      <c r="AK30" s="56" t="str">
        <f>IF(AG28&gt;1000,"ACB","MCCB")</f>
        <v>MCCB</v>
      </c>
      <c r="AL30" s="57">
        <f>_xlfn.XLOOKUP(AG28,'LOOKUP VALUES'!$D$1:$D$8,'LOOKUP VALUES'!$E$1:$E$8,,1,1)</f>
        <v>0.04</v>
      </c>
      <c r="AM30" s="56">
        <f>(AH30)/AL30</f>
        <v>4706.6598031762969</v>
      </c>
      <c r="AN30" s="56">
        <f>_xlfn.XLOOKUP(AM30,'LOOKUP VALUES'!$H$2:$H$14,'LOOKUP VALUES'!$I$2:$I$14,,1,1)</f>
        <v>10</v>
      </c>
    </row>
    <row r="31" spans="2:40" x14ac:dyDescent="0.3">
      <c r="B31" s="50"/>
      <c r="C31" s="50"/>
      <c r="D31" s="50"/>
      <c r="E31" s="50"/>
      <c r="F31" s="50"/>
      <c r="G31" s="50"/>
      <c r="H31" s="50"/>
      <c r="I31" s="50"/>
      <c r="J31" s="50"/>
      <c r="L31" s="50"/>
      <c r="M31" s="50"/>
      <c r="N31" s="50"/>
      <c r="O31" s="50"/>
      <c r="P31" s="50"/>
      <c r="Q31" s="50"/>
      <c r="R31" s="50"/>
      <c r="S31" s="50"/>
      <c r="T31" s="50"/>
      <c r="V31" s="50"/>
      <c r="W31" s="50"/>
      <c r="X31" s="50"/>
      <c r="Y31" s="50"/>
      <c r="Z31" s="50"/>
      <c r="AA31" s="50"/>
      <c r="AB31" s="50"/>
      <c r="AC31" s="50"/>
      <c r="AD31" s="50"/>
      <c r="AF31" s="50"/>
      <c r="AG31" s="50"/>
      <c r="AH31" s="50"/>
      <c r="AI31" s="50"/>
      <c r="AJ31" s="50"/>
      <c r="AK31" s="50"/>
      <c r="AL31" s="50"/>
      <c r="AM31" s="50"/>
      <c r="AN31" s="50"/>
    </row>
    <row r="32" spans="2:40" ht="15.6" x14ac:dyDescent="0.35">
      <c r="B32" s="51"/>
      <c r="C32" s="52" t="s">
        <v>77</v>
      </c>
      <c r="D32" s="52" t="s">
        <v>122</v>
      </c>
      <c r="E32" s="52" t="s">
        <v>123</v>
      </c>
      <c r="F32" s="52" t="s">
        <v>124</v>
      </c>
      <c r="G32" s="52" t="s">
        <v>125</v>
      </c>
      <c r="H32" s="52" t="s">
        <v>126</v>
      </c>
      <c r="I32" s="52" t="s">
        <v>127</v>
      </c>
      <c r="J32" s="52" t="s">
        <v>128</v>
      </c>
      <c r="L32" s="51"/>
      <c r="M32" s="52" t="s">
        <v>77</v>
      </c>
      <c r="N32" s="52" t="s">
        <v>122</v>
      </c>
      <c r="O32" s="52" t="s">
        <v>123</v>
      </c>
      <c r="P32" s="52" t="s">
        <v>124</v>
      </c>
      <c r="Q32" s="52" t="s">
        <v>125</v>
      </c>
      <c r="R32" s="52" t="s">
        <v>126</v>
      </c>
      <c r="S32" s="52" t="s">
        <v>127</v>
      </c>
      <c r="T32" s="52" t="s">
        <v>128</v>
      </c>
      <c r="V32" s="51"/>
      <c r="W32" s="52" t="s">
        <v>77</v>
      </c>
      <c r="X32" s="52" t="s">
        <v>122</v>
      </c>
      <c r="Y32" s="52" t="s">
        <v>123</v>
      </c>
      <c r="Z32" s="52" t="s">
        <v>124</v>
      </c>
      <c r="AA32" s="52" t="s">
        <v>125</v>
      </c>
      <c r="AB32" s="52" t="s">
        <v>126</v>
      </c>
      <c r="AC32" s="52" t="s">
        <v>127</v>
      </c>
      <c r="AD32" s="52" t="s">
        <v>128</v>
      </c>
      <c r="AF32" s="51"/>
      <c r="AG32" s="52" t="s">
        <v>77</v>
      </c>
      <c r="AH32" s="52" t="s">
        <v>122</v>
      </c>
      <c r="AI32" s="52" t="s">
        <v>123</v>
      </c>
      <c r="AJ32" s="52" t="s">
        <v>124</v>
      </c>
      <c r="AK32" s="52" t="s">
        <v>125</v>
      </c>
      <c r="AL32" s="52" t="s">
        <v>126</v>
      </c>
      <c r="AM32" s="52" t="s">
        <v>127</v>
      </c>
      <c r="AN32" s="52" t="s">
        <v>128</v>
      </c>
    </row>
    <row r="33" spans="2:40" ht="15.6" x14ac:dyDescent="0.35">
      <c r="B33" s="53" t="s">
        <v>136</v>
      </c>
      <c r="C33" s="54">
        <f>'STUDY AREA 1'!Y45</f>
        <v>450</v>
      </c>
      <c r="D33" s="55">
        <f>(C33*1000)/(SQRT(3)*$C$2)</f>
        <v>564.79917638115569</v>
      </c>
      <c r="E33" s="55">
        <f>1.25*D33</f>
        <v>705.99897047644458</v>
      </c>
      <c r="F33" s="56">
        <f>_xlfn.XLOOKUP(E33,'LOOKUP VALUES'!$A$2:$A$30,'LOOKUP VALUES'!$B$2:$B$30,,1,1)</f>
        <v>800</v>
      </c>
      <c r="G33" s="56" t="str">
        <f>IF(C33&gt;1000,"ACB","MCCB")</f>
        <v>MCCB</v>
      </c>
      <c r="H33" s="57">
        <f>_xlfn.XLOOKUP(C33,'LOOKUP VALUES'!$D$1:$D$8,'LOOKUP VALUES'!$E$1:$E$8,,1,1)</f>
        <v>0.05</v>
      </c>
      <c r="I33" s="56">
        <f>(D33)/H33</f>
        <v>11295.983527623113</v>
      </c>
      <c r="J33" s="56" t="str">
        <f>_xlfn.XLOOKUP(I33,'LOOKUP VALUES'!$H$2:$H$14,'LOOKUP VALUES'!$I$2:$I$14,,1,1)</f>
        <v>15-18</v>
      </c>
      <c r="L33" s="53" t="s">
        <v>136</v>
      </c>
      <c r="M33" s="54">
        <f>'STUDY AREA 2'!Y44</f>
        <v>600</v>
      </c>
      <c r="N33" s="55">
        <f>(M33*1000)/(SQRT(3)*$C$2)</f>
        <v>753.06556850820755</v>
      </c>
      <c r="O33" s="55">
        <f>1.25*N33</f>
        <v>941.33196063525941</v>
      </c>
      <c r="P33" s="56">
        <f>_xlfn.XLOOKUP(O33,'LOOKUP VALUES'!$A$2:$A$30,'LOOKUP VALUES'!$B$2:$B$30,,1,1)</f>
        <v>1000</v>
      </c>
      <c r="Q33" s="56" t="str">
        <f>IF(M33&gt;1000,"ACB","MCCB")</f>
        <v>MCCB</v>
      </c>
      <c r="R33" s="57">
        <f>_xlfn.XLOOKUP(M33,'LOOKUP VALUES'!$D$1:$D$8,'LOOKUP VALUES'!$E$1:$E$8,,1,1)</f>
        <v>0.05</v>
      </c>
      <c r="S33" s="56">
        <f>(N33)/R33</f>
        <v>15061.311370164151</v>
      </c>
      <c r="T33" s="56" t="str">
        <f>_xlfn.XLOOKUP(S33,'LOOKUP VALUES'!$H$2:$H$14,'LOOKUP VALUES'!$I$2:$I$14,,1,1)</f>
        <v>25-35</v>
      </c>
      <c r="V33" s="53" t="s">
        <v>136</v>
      </c>
      <c r="W33" s="54">
        <f>'STUDY AREA 3'!Y44</f>
        <v>300</v>
      </c>
      <c r="X33" s="55">
        <f>(W33*1000)/(SQRT(3)*$C$2)</f>
        <v>376.53278425410377</v>
      </c>
      <c r="Y33" s="55">
        <f>1.25*X33</f>
        <v>470.6659803176297</v>
      </c>
      <c r="Z33" s="56">
        <f>_xlfn.XLOOKUP(Y33,'LOOKUP VALUES'!$A$2:$A$30,'LOOKUP VALUES'!$B$2:$B$30,,1,1)</f>
        <v>500</v>
      </c>
      <c r="AA33" s="56" t="str">
        <f>IF(W33&gt;1000,"ACB","MCCB")</f>
        <v>MCCB</v>
      </c>
      <c r="AB33" s="57">
        <f>_xlfn.XLOOKUP(W33,'LOOKUP VALUES'!$D$1:$D$8,'LOOKUP VALUES'!$E$1:$E$8,,1,1)</f>
        <v>0.04</v>
      </c>
      <c r="AC33" s="56">
        <f>(X33)/AB33</f>
        <v>9413.3196063525938</v>
      </c>
      <c r="AD33" s="56" t="str">
        <f>_xlfn.XLOOKUP(AC33,'LOOKUP VALUES'!$H$2:$H$14,'LOOKUP VALUES'!$I$2:$I$14,,1,1)</f>
        <v>15-18</v>
      </c>
      <c r="AF33" s="53" t="s">
        <v>136</v>
      </c>
      <c r="AG33" s="54">
        <f>'STUDY AREA 4'!Y45</f>
        <v>75</v>
      </c>
      <c r="AH33" s="55">
        <f>(AG33*1000)/(SQRT(3)*$C$2)</f>
        <v>94.133196063525943</v>
      </c>
      <c r="AI33" s="55">
        <f>1.25*AH33</f>
        <v>117.66649507940743</v>
      </c>
      <c r="AJ33" s="56">
        <f>_xlfn.XLOOKUP(AI33,'LOOKUP VALUES'!$A$2:$A$30,'LOOKUP VALUES'!$B$2:$B$30,,1,1)</f>
        <v>125</v>
      </c>
      <c r="AK33" s="56" t="str">
        <f>IF(AG33&gt;1000,"ACB","MCCB")</f>
        <v>MCCB</v>
      </c>
      <c r="AL33" s="57">
        <f>_xlfn.XLOOKUP(AG33,'LOOKUP VALUES'!$D$1:$D$8,'LOOKUP VALUES'!$E$1:$E$8,,1,1)</f>
        <v>0.04</v>
      </c>
      <c r="AM33" s="56">
        <f>(AH33)/AL33</f>
        <v>2353.3299015881485</v>
      </c>
      <c r="AN33" s="56" t="str">
        <f>_xlfn.XLOOKUP(AM33,'LOOKUP VALUES'!$H$2:$H$14,'LOOKUP VALUES'!$I$2:$I$14,,1,1)</f>
        <v>6-10</v>
      </c>
    </row>
    <row r="34" spans="2:40" ht="15.6" x14ac:dyDescent="0.35">
      <c r="B34" s="50"/>
      <c r="C34" s="56"/>
      <c r="D34" s="52" t="s">
        <v>130</v>
      </c>
      <c r="E34" s="52" t="s">
        <v>131</v>
      </c>
      <c r="F34" s="52" t="s">
        <v>124</v>
      </c>
      <c r="G34" s="52" t="s">
        <v>125</v>
      </c>
      <c r="H34" s="52" t="s">
        <v>126</v>
      </c>
      <c r="I34" s="52" t="s">
        <v>127</v>
      </c>
      <c r="J34" s="52" t="s">
        <v>128</v>
      </c>
      <c r="L34" s="50"/>
      <c r="M34" s="56"/>
      <c r="N34" s="52" t="s">
        <v>130</v>
      </c>
      <c r="O34" s="52" t="s">
        <v>131</v>
      </c>
      <c r="P34" s="52" t="s">
        <v>124</v>
      </c>
      <c r="Q34" s="52" t="s">
        <v>125</v>
      </c>
      <c r="R34" s="52" t="s">
        <v>126</v>
      </c>
      <c r="S34" s="52" t="s">
        <v>127</v>
      </c>
      <c r="T34" s="52" t="s">
        <v>128</v>
      </c>
      <c r="V34" s="50"/>
      <c r="W34" s="56"/>
      <c r="X34" s="52" t="s">
        <v>130</v>
      </c>
      <c r="Y34" s="52" t="s">
        <v>131</v>
      </c>
      <c r="Z34" s="52" t="s">
        <v>124</v>
      </c>
      <c r="AA34" s="52" t="s">
        <v>125</v>
      </c>
      <c r="AB34" s="52" t="s">
        <v>126</v>
      </c>
      <c r="AC34" s="52" t="s">
        <v>127</v>
      </c>
      <c r="AD34" s="52" t="s">
        <v>128</v>
      </c>
      <c r="AF34" s="50"/>
      <c r="AG34" s="56"/>
      <c r="AH34" s="52" t="s">
        <v>130</v>
      </c>
      <c r="AI34" s="52" t="s">
        <v>131</v>
      </c>
      <c r="AJ34" s="52" t="s">
        <v>124</v>
      </c>
      <c r="AK34" s="52" t="s">
        <v>125</v>
      </c>
      <c r="AL34" s="52" t="s">
        <v>126</v>
      </c>
      <c r="AM34" s="52" t="s">
        <v>127</v>
      </c>
      <c r="AN34" s="52" t="s">
        <v>128</v>
      </c>
    </row>
    <row r="35" spans="2:40" x14ac:dyDescent="0.3">
      <c r="B35" s="50"/>
      <c r="C35" s="56"/>
      <c r="D35" s="55">
        <f>(C33*1000)/(SQRT(3)*$C$3)</f>
        <v>1129.5983527623114</v>
      </c>
      <c r="E35" s="55">
        <f>1.25*D35</f>
        <v>1411.9979409528892</v>
      </c>
      <c r="F35" s="56">
        <f>_xlfn.XLOOKUP(E35,'LOOKUP VALUES'!$A$2:$A$30,'LOOKUP VALUES'!$B$2:$B$30,,1,1)</f>
        <v>1600</v>
      </c>
      <c r="G35" s="56" t="str">
        <f>IF(C33&gt;1000,"ACB","MCCB")</f>
        <v>MCCB</v>
      </c>
      <c r="H35" s="57">
        <f>_xlfn.XLOOKUP(C33,'LOOKUP VALUES'!$D$1:$D$8,'LOOKUP VALUES'!$E$1:$E$8,,1,1)</f>
        <v>0.05</v>
      </c>
      <c r="I35" s="56">
        <f>(D35)/H35</f>
        <v>22591.967055246227</v>
      </c>
      <c r="J35" s="56" t="str">
        <f>_xlfn.XLOOKUP(I35,'LOOKUP VALUES'!$H$2:$H$14,'LOOKUP VALUES'!$I$2:$I$14,,1,1)</f>
        <v>25-35</v>
      </c>
      <c r="L35" s="50"/>
      <c r="M35" s="56"/>
      <c r="N35" s="55">
        <f>(M33*1000)/(SQRT(3)*$C$3)</f>
        <v>1506.1311370164151</v>
      </c>
      <c r="O35" s="55">
        <f>1.25*N35</f>
        <v>1882.6639212705188</v>
      </c>
      <c r="P35" s="56">
        <f>_xlfn.XLOOKUP(O35,'LOOKUP VALUES'!$A$2:$A$30,'LOOKUP VALUES'!$B$2:$B$30,,1,1)</f>
        <v>2000</v>
      </c>
      <c r="Q35" s="56" t="str">
        <f>IF(M33&gt;1000,"ACB","MCCB")</f>
        <v>MCCB</v>
      </c>
      <c r="R35" s="57">
        <f>_xlfn.XLOOKUP(M33,'LOOKUP VALUES'!$D$1:$D$8,'LOOKUP VALUES'!$E$1:$E$8,,1,1)</f>
        <v>0.05</v>
      </c>
      <c r="S35" s="56">
        <f>(N35)/R35</f>
        <v>30122.622740328301</v>
      </c>
      <c r="T35" s="56" t="str">
        <f>_xlfn.XLOOKUP(S35,'LOOKUP VALUES'!$H$2:$H$14,'LOOKUP VALUES'!$I$2:$I$14,,1,1)</f>
        <v>60</v>
      </c>
      <c r="V35" s="50"/>
      <c r="W35" s="56"/>
      <c r="X35" s="55">
        <f>(W33*1000)/(SQRT(3)*$C$3)</f>
        <v>753.06556850820755</v>
      </c>
      <c r="Y35" s="55">
        <f>1.25*X35</f>
        <v>941.33196063525941</v>
      </c>
      <c r="Z35" s="56">
        <f>_xlfn.XLOOKUP(Y35,'LOOKUP VALUES'!$A$2:$A$30,'LOOKUP VALUES'!$B$2:$B$30,,1,1)</f>
        <v>1000</v>
      </c>
      <c r="AA35" s="56" t="str">
        <f>IF(W33&gt;1000,"ACB","MCCB")</f>
        <v>MCCB</v>
      </c>
      <c r="AB35" s="57">
        <f>_xlfn.XLOOKUP(W33,'LOOKUP VALUES'!$D$1:$D$8,'LOOKUP VALUES'!$E$1:$E$8,,1,1)</f>
        <v>0.04</v>
      </c>
      <c r="AC35" s="56">
        <f>(X35)/AB35</f>
        <v>18826.639212705188</v>
      </c>
      <c r="AD35" s="56" t="str">
        <f>_xlfn.XLOOKUP(AC35,'LOOKUP VALUES'!$H$2:$H$14,'LOOKUP VALUES'!$I$2:$I$14,,1,1)</f>
        <v>25-35</v>
      </c>
      <c r="AF35" s="50"/>
      <c r="AG35" s="56"/>
      <c r="AH35" s="55">
        <f>(AG33*1000)/(SQRT(3)*$C$3)</f>
        <v>188.26639212705189</v>
      </c>
      <c r="AI35" s="55">
        <f>1.25*AH35</f>
        <v>235.33299015881485</v>
      </c>
      <c r="AJ35" s="56">
        <f>_xlfn.XLOOKUP(AI35,'LOOKUP VALUES'!$A$2:$A$30,'LOOKUP VALUES'!$B$2:$B$30,,1,1)</f>
        <v>250</v>
      </c>
      <c r="AK35" s="56" t="str">
        <f>IF(AG33&gt;1000,"ACB","MCCB")</f>
        <v>MCCB</v>
      </c>
      <c r="AL35" s="57">
        <f>_xlfn.XLOOKUP(AG33,'LOOKUP VALUES'!$D$1:$D$8,'LOOKUP VALUES'!$E$1:$E$8,,1,1)</f>
        <v>0.04</v>
      </c>
      <c r="AM35" s="56">
        <f>(AH35)/AL35</f>
        <v>4706.6598031762969</v>
      </c>
      <c r="AN35" s="56">
        <f>_xlfn.XLOOKUP(AM35,'LOOKUP VALUES'!$H$2:$H$14,'LOOKUP VALUES'!$I$2:$I$14,,1,1)</f>
        <v>10</v>
      </c>
    </row>
    <row r="36" spans="2:40" x14ac:dyDescent="0.3">
      <c r="B36" s="50"/>
      <c r="C36" s="50"/>
      <c r="D36" s="50"/>
      <c r="E36" s="50"/>
      <c r="F36" s="50"/>
      <c r="G36" s="50"/>
      <c r="H36" s="50"/>
      <c r="I36" s="50"/>
      <c r="J36" s="50"/>
      <c r="L36" s="50"/>
      <c r="M36" s="50"/>
      <c r="N36" s="50"/>
      <c r="O36" s="50"/>
      <c r="P36" s="50"/>
      <c r="Q36" s="50"/>
      <c r="R36" s="50"/>
      <c r="S36" s="50"/>
      <c r="T36" s="50"/>
      <c r="V36" s="50"/>
      <c r="W36" s="50"/>
      <c r="X36" s="50"/>
      <c r="Y36" s="50"/>
      <c r="Z36" s="50"/>
      <c r="AA36" s="50"/>
      <c r="AB36" s="50"/>
      <c r="AC36" s="50"/>
      <c r="AD36" s="50"/>
      <c r="AF36" s="50"/>
      <c r="AG36" s="50"/>
      <c r="AH36" s="50"/>
      <c r="AI36" s="50"/>
      <c r="AJ36" s="50"/>
      <c r="AK36" s="50"/>
      <c r="AL36" s="50"/>
      <c r="AM36" s="50"/>
      <c r="AN36" s="50"/>
    </row>
    <row r="37" spans="2:40" ht="15.6" x14ac:dyDescent="0.35">
      <c r="B37" s="51"/>
      <c r="C37" s="52" t="s">
        <v>77</v>
      </c>
      <c r="D37" s="52" t="s">
        <v>122</v>
      </c>
      <c r="E37" s="52" t="s">
        <v>123</v>
      </c>
      <c r="F37" s="52" t="s">
        <v>124</v>
      </c>
      <c r="G37" s="52" t="s">
        <v>125</v>
      </c>
      <c r="H37" s="52" t="s">
        <v>126</v>
      </c>
      <c r="I37" s="52" t="s">
        <v>127</v>
      </c>
      <c r="J37" s="52" t="s">
        <v>128</v>
      </c>
      <c r="L37" s="51"/>
      <c r="M37" s="52" t="s">
        <v>77</v>
      </c>
      <c r="N37" s="52" t="s">
        <v>122</v>
      </c>
      <c r="O37" s="52" t="s">
        <v>123</v>
      </c>
      <c r="P37" s="52" t="s">
        <v>124</v>
      </c>
      <c r="Q37" s="52" t="s">
        <v>125</v>
      </c>
      <c r="R37" s="52" t="s">
        <v>126</v>
      </c>
      <c r="S37" s="52" t="s">
        <v>127</v>
      </c>
      <c r="T37" s="52" t="s">
        <v>128</v>
      </c>
      <c r="V37" s="51"/>
      <c r="W37" s="52" t="s">
        <v>77</v>
      </c>
      <c r="X37" s="52" t="s">
        <v>122</v>
      </c>
      <c r="Y37" s="52" t="s">
        <v>123</v>
      </c>
      <c r="Z37" s="52" t="s">
        <v>124</v>
      </c>
      <c r="AA37" s="52" t="s">
        <v>125</v>
      </c>
      <c r="AB37" s="52" t="s">
        <v>126</v>
      </c>
      <c r="AC37" s="52" t="s">
        <v>127</v>
      </c>
      <c r="AD37" s="52" t="s">
        <v>128</v>
      </c>
      <c r="AF37" s="51"/>
      <c r="AG37" s="52" t="s">
        <v>77</v>
      </c>
      <c r="AH37" s="52" t="s">
        <v>122</v>
      </c>
      <c r="AI37" s="52" t="s">
        <v>123</v>
      </c>
      <c r="AJ37" s="52" t="s">
        <v>124</v>
      </c>
      <c r="AK37" s="52" t="s">
        <v>125</v>
      </c>
      <c r="AL37" s="52" t="s">
        <v>126</v>
      </c>
      <c r="AM37" s="52" t="s">
        <v>127</v>
      </c>
      <c r="AN37" s="52" t="s">
        <v>128</v>
      </c>
    </row>
    <row r="38" spans="2:40" ht="15.6" x14ac:dyDescent="0.35">
      <c r="B38" s="53" t="s">
        <v>137</v>
      </c>
      <c r="C38" s="54">
        <f>'STUDY AREA 1'!Y53</f>
        <v>450</v>
      </c>
      <c r="D38" s="55">
        <f>(C38*1000)/(SQRT(3)*$C$2)</f>
        <v>564.79917638115569</v>
      </c>
      <c r="E38" s="55">
        <f>1.25*D38</f>
        <v>705.99897047644458</v>
      </c>
      <c r="F38" s="56">
        <f>_xlfn.XLOOKUP(E38,'LOOKUP VALUES'!$A$2:$A$30,'LOOKUP VALUES'!$B$2:$B$30,,1,1)</f>
        <v>800</v>
      </c>
      <c r="G38" s="56" t="str">
        <f>IF(C38&gt;1000,"ACB","MCCB")</f>
        <v>MCCB</v>
      </c>
      <c r="H38" s="57">
        <f>_xlfn.XLOOKUP(C38,'LOOKUP VALUES'!$D$1:$D$8,'LOOKUP VALUES'!$E$1:$E$8,,1,1)</f>
        <v>0.05</v>
      </c>
      <c r="I38" s="56">
        <f>(D38)/H38</f>
        <v>11295.983527623113</v>
      </c>
      <c r="J38" s="56" t="str">
        <f>_xlfn.XLOOKUP(I38,'LOOKUP VALUES'!$H$2:$H$14,'LOOKUP VALUES'!$I$2:$I$14,,1,1)</f>
        <v>15-18</v>
      </c>
      <c r="L38" s="53" t="s">
        <v>137</v>
      </c>
      <c r="M38" s="54">
        <f>'STUDY AREA 2'!Y52</f>
        <v>500</v>
      </c>
      <c r="N38" s="55">
        <f>(M38*1000)/(SQRT(3)*$C$2)</f>
        <v>627.55464042350627</v>
      </c>
      <c r="O38" s="55">
        <f>1.25*N38</f>
        <v>784.4433005293829</v>
      </c>
      <c r="P38" s="56">
        <f>_xlfn.XLOOKUP(O38,'LOOKUP VALUES'!$A$2:$A$30,'LOOKUP VALUES'!$B$2:$B$30,,1,1)</f>
        <v>800</v>
      </c>
      <c r="Q38" s="56" t="str">
        <f>IF(M38&gt;1000,"ACB","MCCB")</f>
        <v>MCCB</v>
      </c>
      <c r="R38" s="57">
        <f>_xlfn.XLOOKUP(M38,'LOOKUP VALUES'!$D$1:$D$8,'LOOKUP VALUES'!$E$1:$E$8,,1,1)</f>
        <v>0.05</v>
      </c>
      <c r="S38" s="56">
        <f>(N38)/R38</f>
        <v>12551.092808470125</v>
      </c>
      <c r="T38" s="56" t="str">
        <f>_xlfn.XLOOKUP(S38,'LOOKUP VALUES'!$H$2:$H$14,'LOOKUP VALUES'!$I$2:$I$14,,1,1)</f>
        <v>25-35</v>
      </c>
      <c r="V38" s="53" t="s">
        <v>137</v>
      </c>
      <c r="W38" s="54">
        <f>'STUDY AREA 3'!Y52</f>
        <v>300</v>
      </c>
      <c r="X38" s="55">
        <f>(W38*1000)/(SQRT(3)*$C$2)</f>
        <v>376.53278425410377</v>
      </c>
      <c r="Y38" s="55">
        <f>1.25*X38</f>
        <v>470.6659803176297</v>
      </c>
      <c r="Z38" s="56">
        <f>_xlfn.XLOOKUP(Y38,'LOOKUP VALUES'!$A$2:$A$30,'LOOKUP VALUES'!$B$2:$B$30,,1,1)</f>
        <v>500</v>
      </c>
      <c r="AA38" s="56" t="str">
        <f>IF(W38&gt;1000,"ACB","MCCB")</f>
        <v>MCCB</v>
      </c>
      <c r="AB38" s="57">
        <f>_xlfn.XLOOKUP(W38,'LOOKUP VALUES'!$D$1:$D$8,'LOOKUP VALUES'!$E$1:$E$8,,1,1)</f>
        <v>0.04</v>
      </c>
      <c r="AC38" s="56">
        <f>(X38)/AB38</f>
        <v>9413.3196063525938</v>
      </c>
      <c r="AD38" s="56" t="str">
        <f>_xlfn.XLOOKUP(AC38,'LOOKUP VALUES'!$H$2:$H$14,'LOOKUP VALUES'!$I$2:$I$14,,1,1)</f>
        <v>15-18</v>
      </c>
      <c r="AF38" s="53" t="s">
        <v>137</v>
      </c>
      <c r="AG38" s="54">
        <f>'STUDY AREA 4'!Y53</f>
        <v>600</v>
      </c>
      <c r="AH38" s="55">
        <f>(AG38*1000)/(SQRT(3)*$C$2)</f>
        <v>753.06556850820755</v>
      </c>
      <c r="AI38" s="55">
        <f>1.25*AH38</f>
        <v>941.33196063525941</v>
      </c>
      <c r="AJ38" s="56">
        <f>_xlfn.XLOOKUP(AI38,'LOOKUP VALUES'!$A$2:$A$30,'LOOKUP VALUES'!$B$2:$B$30,,1,1)</f>
        <v>1000</v>
      </c>
      <c r="AK38" s="56" t="str">
        <f>IF(AG38&gt;1000,"ACB","MCCB")</f>
        <v>MCCB</v>
      </c>
      <c r="AL38" s="57">
        <f>_xlfn.XLOOKUP(AG38,'LOOKUP VALUES'!$D$1:$D$8,'LOOKUP VALUES'!$E$1:$E$8,,1,1)</f>
        <v>0.05</v>
      </c>
      <c r="AM38" s="56">
        <f>(AH38)/AL38</f>
        <v>15061.311370164151</v>
      </c>
      <c r="AN38" s="56" t="str">
        <f>_xlfn.XLOOKUP(AM38,'LOOKUP VALUES'!$H$2:$H$14,'LOOKUP VALUES'!$I$2:$I$14,,1,1)</f>
        <v>25-35</v>
      </c>
    </row>
    <row r="39" spans="2:40" ht="15.6" x14ac:dyDescent="0.35">
      <c r="B39" s="50"/>
      <c r="C39" s="56"/>
      <c r="D39" s="52" t="s">
        <v>130</v>
      </c>
      <c r="E39" s="52" t="s">
        <v>131</v>
      </c>
      <c r="F39" s="52" t="s">
        <v>124</v>
      </c>
      <c r="G39" s="52" t="s">
        <v>125</v>
      </c>
      <c r="H39" s="52" t="s">
        <v>126</v>
      </c>
      <c r="I39" s="52" t="s">
        <v>127</v>
      </c>
      <c r="J39" s="52" t="s">
        <v>128</v>
      </c>
      <c r="L39" s="50"/>
      <c r="M39" s="56"/>
      <c r="N39" s="52" t="s">
        <v>130</v>
      </c>
      <c r="O39" s="52" t="s">
        <v>131</v>
      </c>
      <c r="P39" s="52" t="s">
        <v>124</v>
      </c>
      <c r="Q39" s="52" t="s">
        <v>125</v>
      </c>
      <c r="R39" s="52" t="s">
        <v>126</v>
      </c>
      <c r="S39" s="52" t="s">
        <v>127</v>
      </c>
      <c r="T39" s="52" t="s">
        <v>128</v>
      </c>
      <c r="V39" s="50"/>
      <c r="W39" s="56"/>
      <c r="X39" s="52" t="s">
        <v>130</v>
      </c>
      <c r="Y39" s="52" t="s">
        <v>131</v>
      </c>
      <c r="Z39" s="52" t="s">
        <v>124</v>
      </c>
      <c r="AA39" s="52" t="s">
        <v>125</v>
      </c>
      <c r="AB39" s="52" t="s">
        <v>126</v>
      </c>
      <c r="AC39" s="52" t="s">
        <v>127</v>
      </c>
      <c r="AD39" s="52" t="s">
        <v>128</v>
      </c>
      <c r="AF39" s="50"/>
      <c r="AG39" s="56"/>
      <c r="AH39" s="52" t="s">
        <v>130</v>
      </c>
      <c r="AI39" s="52" t="s">
        <v>131</v>
      </c>
      <c r="AJ39" s="52" t="s">
        <v>124</v>
      </c>
      <c r="AK39" s="52" t="s">
        <v>125</v>
      </c>
      <c r="AL39" s="52" t="s">
        <v>126</v>
      </c>
      <c r="AM39" s="52" t="s">
        <v>127</v>
      </c>
      <c r="AN39" s="52" t="s">
        <v>128</v>
      </c>
    </row>
    <row r="40" spans="2:40" x14ac:dyDescent="0.3">
      <c r="B40" s="50"/>
      <c r="C40" s="56"/>
      <c r="D40" s="55">
        <f>(C38*1000)/(SQRT(3)*$C$3)</f>
        <v>1129.5983527623114</v>
      </c>
      <c r="E40" s="55">
        <f>1.25*D40</f>
        <v>1411.9979409528892</v>
      </c>
      <c r="F40" s="56">
        <f>_xlfn.XLOOKUP(E40,'LOOKUP VALUES'!$A$2:$A$30,'LOOKUP VALUES'!$B$2:$B$30,,1,1)</f>
        <v>1600</v>
      </c>
      <c r="G40" s="56" t="str">
        <f>IF(C38&gt;1000,"ACB","MCCB")</f>
        <v>MCCB</v>
      </c>
      <c r="H40" s="57">
        <f>_xlfn.XLOOKUP(C38,'LOOKUP VALUES'!$D$1:$D$8,'LOOKUP VALUES'!$E$1:$E$8,,1,1)</f>
        <v>0.05</v>
      </c>
      <c r="I40" s="56">
        <f>(D40)/H40</f>
        <v>22591.967055246227</v>
      </c>
      <c r="J40" s="56" t="str">
        <f>_xlfn.XLOOKUP(I40,'LOOKUP VALUES'!$H$2:$H$14,'LOOKUP VALUES'!$I$2:$I$14,,1,1)</f>
        <v>25-35</v>
      </c>
      <c r="L40" s="50"/>
      <c r="M40" s="56"/>
      <c r="N40" s="55">
        <f>(M38*1000)/(SQRT(3)*$C$3)</f>
        <v>1255.1092808470125</v>
      </c>
      <c r="O40" s="55">
        <f>1.25*N40</f>
        <v>1568.8866010587658</v>
      </c>
      <c r="P40" s="56">
        <f>_xlfn.XLOOKUP(O40,'LOOKUP VALUES'!$A$2:$A$30,'LOOKUP VALUES'!$B$2:$B$30,,1,1)</f>
        <v>1600</v>
      </c>
      <c r="Q40" s="56" t="str">
        <f>IF(M38&gt;1000,"ACB","MCCB")</f>
        <v>MCCB</v>
      </c>
      <c r="R40" s="57">
        <f>_xlfn.XLOOKUP(M38,'LOOKUP VALUES'!$D$1:$D$8,'LOOKUP VALUES'!$E$1:$E$8,,1,1)</f>
        <v>0.05</v>
      </c>
      <c r="S40" s="56">
        <f>(N40)/R40</f>
        <v>25102.185616940249</v>
      </c>
      <c r="T40" s="56" t="str">
        <f>_xlfn.XLOOKUP(S40,'LOOKUP VALUES'!$H$2:$H$14,'LOOKUP VALUES'!$I$2:$I$14,,1,1)</f>
        <v>60</v>
      </c>
      <c r="V40" s="50"/>
      <c r="W40" s="56"/>
      <c r="X40" s="55">
        <f>(W38*1000)/(SQRT(3)*$C$3)</f>
        <v>753.06556850820755</v>
      </c>
      <c r="Y40" s="55">
        <f>1.25*X40</f>
        <v>941.33196063525941</v>
      </c>
      <c r="Z40" s="56">
        <f>_xlfn.XLOOKUP(Y40,'LOOKUP VALUES'!$A$2:$A$30,'LOOKUP VALUES'!$B$2:$B$30,,1,1)</f>
        <v>1000</v>
      </c>
      <c r="AA40" s="56" t="str">
        <f>IF(W38&gt;1000,"ACB","MCCB")</f>
        <v>MCCB</v>
      </c>
      <c r="AB40" s="57">
        <f>_xlfn.XLOOKUP(W38,'LOOKUP VALUES'!$D$1:$D$8,'LOOKUP VALUES'!$E$1:$E$8,,1,1)</f>
        <v>0.04</v>
      </c>
      <c r="AC40" s="56">
        <f>(X40)/AB40</f>
        <v>18826.639212705188</v>
      </c>
      <c r="AD40" s="56" t="str">
        <f>_xlfn.XLOOKUP(AC40,'LOOKUP VALUES'!$H$2:$H$14,'LOOKUP VALUES'!$I$2:$I$14,,1,1)</f>
        <v>25-35</v>
      </c>
      <c r="AF40" s="50"/>
      <c r="AG40" s="56"/>
      <c r="AH40" s="55">
        <f>(AG38*1000)/(SQRT(3)*$C$3)</f>
        <v>1506.1311370164151</v>
      </c>
      <c r="AI40" s="55">
        <f>1.25*AH40</f>
        <v>1882.6639212705188</v>
      </c>
      <c r="AJ40" s="56">
        <f>_xlfn.XLOOKUP(AI40,'LOOKUP VALUES'!$A$2:$A$30,'LOOKUP VALUES'!$B$2:$B$30,,1,1)</f>
        <v>2000</v>
      </c>
      <c r="AK40" s="56" t="str">
        <f>IF(AG38&gt;1000,"ACB","MCCB")</f>
        <v>MCCB</v>
      </c>
      <c r="AL40" s="57">
        <f>_xlfn.XLOOKUP(AG38,'LOOKUP VALUES'!$D$1:$D$8,'LOOKUP VALUES'!$E$1:$E$8,,1,1)</f>
        <v>0.05</v>
      </c>
      <c r="AM40" s="56">
        <f>(AH40)/AL40</f>
        <v>30122.622740328301</v>
      </c>
      <c r="AN40" s="56" t="str">
        <f>_xlfn.XLOOKUP(AM40,'LOOKUP VALUES'!$H$2:$H$14,'LOOKUP VALUES'!$I$2:$I$14,,1,1)</f>
        <v>60</v>
      </c>
    </row>
    <row r="41" spans="2:40" x14ac:dyDescent="0.3">
      <c r="B41" s="50"/>
      <c r="C41" s="50"/>
      <c r="D41" s="50"/>
      <c r="E41" s="50"/>
      <c r="F41" s="50"/>
      <c r="G41" s="50"/>
      <c r="H41" s="50"/>
      <c r="I41" s="50"/>
      <c r="J41" s="50"/>
      <c r="L41" s="50"/>
      <c r="M41" s="50"/>
      <c r="N41" s="50"/>
      <c r="O41" s="50"/>
      <c r="P41" s="50"/>
      <c r="Q41" s="50"/>
      <c r="R41" s="50"/>
      <c r="S41" s="50"/>
      <c r="T41" s="50"/>
      <c r="V41" s="50"/>
      <c r="W41" s="50"/>
      <c r="X41" s="50"/>
      <c r="Y41" s="50"/>
      <c r="Z41" s="50"/>
      <c r="AA41" s="50"/>
      <c r="AB41" s="50"/>
      <c r="AC41" s="50"/>
      <c r="AD41" s="50"/>
      <c r="AF41" s="50"/>
      <c r="AG41" s="50"/>
      <c r="AH41" s="50"/>
      <c r="AI41" s="50"/>
      <c r="AJ41" s="50"/>
      <c r="AK41" s="50"/>
      <c r="AL41" s="50"/>
      <c r="AM41" s="50"/>
      <c r="AN41" s="50"/>
    </row>
    <row r="42" spans="2:40" ht="15.6" x14ac:dyDescent="0.35">
      <c r="B42" s="51"/>
      <c r="C42" s="52" t="s">
        <v>77</v>
      </c>
      <c r="D42" s="52" t="s">
        <v>122</v>
      </c>
      <c r="E42" s="52" t="s">
        <v>123</v>
      </c>
      <c r="F42" s="52" t="s">
        <v>124</v>
      </c>
      <c r="G42" s="52" t="s">
        <v>125</v>
      </c>
      <c r="H42" s="52" t="s">
        <v>126</v>
      </c>
      <c r="I42" s="52" t="s">
        <v>127</v>
      </c>
      <c r="J42" s="52" t="s">
        <v>128</v>
      </c>
      <c r="L42" s="51"/>
      <c r="M42" s="52" t="s">
        <v>77</v>
      </c>
      <c r="N42" s="52" t="s">
        <v>122</v>
      </c>
      <c r="O42" s="52" t="s">
        <v>123</v>
      </c>
      <c r="P42" s="52" t="s">
        <v>124</v>
      </c>
      <c r="Q42" s="52" t="s">
        <v>125</v>
      </c>
      <c r="R42" s="52" t="s">
        <v>126</v>
      </c>
      <c r="S42" s="52" t="s">
        <v>127</v>
      </c>
      <c r="T42" s="52" t="s">
        <v>128</v>
      </c>
      <c r="V42" s="51"/>
      <c r="W42" s="52" t="s">
        <v>77</v>
      </c>
      <c r="X42" s="52" t="s">
        <v>122</v>
      </c>
      <c r="Y42" s="52" t="s">
        <v>123</v>
      </c>
      <c r="Z42" s="52" t="s">
        <v>124</v>
      </c>
      <c r="AA42" s="52" t="s">
        <v>125</v>
      </c>
      <c r="AB42" s="52" t="s">
        <v>126</v>
      </c>
      <c r="AC42" s="52" t="s">
        <v>127</v>
      </c>
      <c r="AD42" s="52" t="s">
        <v>128</v>
      </c>
      <c r="AF42" s="51"/>
      <c r="AG42" s="52" t="s">
        <v>77</v>
      </c>
      <c r="AH42" s="52" t="s">
        <v>122</v>
      </c>
      <c r="AI42" s="52" t="s">
        <v>123</v>
      </c>
      <c r="AJ42" s="52" t="s">
        <v>124</v>
      </c>
      <c r="AK42" s="52" t="s">
        <v>125</v>
      </c>
      <c r="AL42" s="52" t="s">
        <v>126</v>
      </c>
      <c r="AM42" s="52" t="s">
        <v>127</v>
      </c>
      <c r="AN42" s="52" t="s">
        <v>128</v>
      </c>
    </row>
    <row r="43" spans="2:40" ht="15.6" x14ac:dyDescent="0.35">
      <c r="B43" s="53" t="s">
        <v>138</v>
      </c>
      <c r="C43" s="54">
        <f>'STUDY AREA 1'!Y61</f>
        <v>800</v>
      </c>
      <c r="D43" s="55">
        <f>(C43*1000)/(SQRT(3)*$C$2)</f>
        <v>1004.0874246776101</v>
      </c>
      <c r="E43" s="55">
        <f>1.25*D43</f>
        <v>1255.1092808470125</v>
      </c>
      <c r="F43" s="56">
        <f>_xlfn.XLOOKUP(E43,'LOOKUP VALUES'!$A$2:$A$30,'LOOKUP VALUES'!$B$2:$B$30,,1,1)</f>
        <v>1600</v>
      </c>
      <c r="G43" s="56" t="str">
        <f>IF(C43&gt;1000,"ACB","MCCB")</f>
        <v>MCCB</v>
      </c>
      <c r="H43" s="57">
        <f>_xlfn.XLOOKUP(C43,'LOOKUP VALUES'!$D$1:$D$8,'LOOKUP VALUES'!$E$1:$E$8,,1,1)</f>
        <v>0.06</v>
      </c>
      <c r="I43" s="56">
        <f>(D43)/H43</f>
        <v>16734.790411293503</v>
      </c>
      <c r="J43" s="56" t="str">
        <f>_xlfn.XLOOKUP(I43,'LOOKUP VALUES'!$H$2:$H$14,'LOOKUP VALUES'!$I$2:$I$14,,1,1)</f>
        <v>25-35</v>
      </c>
      <c r="L43" s="53" t="s">
        <v>138</v>
      </c>
      <c r="M43" s="54">
        <f>'STUDY AREA 2'!Y60</f>
        <v>300</v>
      </c>
      <c r="N43" s="55">
        <f>(M43*1000)/(SQRT(3)*$C$2)</f>
        <v>376.53278425410377</v>
      </c>
      <c r="O43" s="55">
        <f>1.25*N43</f>
        <v>470.6659803176297</v>
      </c>
      <c r="P43" s="56">
        <f>_xlfn.XLOOKUP(O43,'LOOKUP VALUES'!$A$2:$A$30,'LOOKUP VALUES'!$B$2:$B$30,,1,1)</f>
        <v>500</v>
      </c>
      <c r="Q43" s="56" t="str">
        <f>IF(M43&gt;1000,"ACB","MCCB")</f>
        <v>MCCB</v>
      </c>
      <c r="R43" s="57">
        <f>_xlfn.XLOOKUP(M43,'LOOKUP VALUES'!$D$1:$D$8,'LOOKUP VALUES'!$E$1:$E$8,,1,1)</f>
        <v>0.04</v>
      </c>
      <c r="S43" s="56">
        <f>(N43)/R43</f>
        <v>9413.3196063525938</v>
      </c>
      <c r="T43" s="56" t="str">
        <f>_xlfn.XLOOKUP(S43,'LOOKUP VALUES'!$H$2:$H$14,'LOOKUP VALUES'!$I$2:$I$14,,1,1)</f>
        <v>15-18</v>
      </c>
      <c r="V43" s="53" t="s">
        <v>138</v>
      </c>
      <c r="W43" s="54">
        <f>'STUDY AREA 3'!Y60</f>
        <v>300</v>
      </c>
      <c r="X43" s="55">
        <f>(W43*1000)/(SQRT(3)*$C$2)</f>
        <v>376.53278425410377</v>
      </c>
      <c r="Y43" s="55">
        <f>1.25*X43</f>
        <v>470.6659803176297</v>
      </c>
      <c r="Z43" s="56">
        <f>_xlfn.XLOOKUP(Y43,'LOOKUP VALUES'!$A$2:$A$30,'LOOKUP VALUES'!$B$2:$B$30,,1,1)</f>
        <v>500</v>
      </c>
      <c r="AA43" s="56" t="str">
        <f>IF(W43&gt;1000,"ACB","MCCB")</f>
        <v>MCCB</v>
      </c>
      <c r="AB43" s="57">
        <f>_xlfn.XLOOKUP(W43,'LOOKUP VALUES'!$D$1:$D$8,'LOOKUP VALUES'!$E$1:$E$8,,1,1)</f>
        <v>0.04</v>
      </c>
      <c r="AC43" s="56">
        <f>(X43)/AB43</f>
        <v>9413.3196063525938</v>
      </c>
      <c r="AD43" s="56" t="str">
        <f>_xlfn.XLOOKUP(AC43,'LOOKUP VALUES'!$H$2:$H$14,'LOOKUP VALUES'!$I$2:$I$14,,1,1)</f>
        <v>15-18</v>
      </c>
      <c r="AF43" s="53" t="s">
        <v>138</v>
      </c>
      <c r="AG43" s="54">
        <f>'STUDY AREA 4'!Y62</f>
        <v>600</v>
      </c>
      <c r="AH43" s="55">
        <f>(AG43*1000)/(SQRT(3)*$C$2)</f>
        <v>753.06556850820755</v>
      </c>
      <c r="AI43" s="55">
        <f>1.25*AH43</f>
        <v>941.33196063525941</v>
      </c>
      <c r="AJ43" s="56">
        <f>_xlfn.XLOOKUP(AI43,'LOOKUP VALUES'!$A$2:$A$30,'LOOKUP VALUES'!$B$2:$B$30,,1,1)</f>
        <v>1000</v>
      </c>
      <c r="AK43" s="56" t="str">
        <f>IF(AG43&gt;1000,"ACB","MCCB")</f>
        <v>MCCB</v>
      </c>
      <c r="AL43" s="57">
        <f>_xlfn.XLOOKUP(AG43,'LOOKUP VALUES'!$D$1:$D$8,'LOOKUP VALUES'!$E$1:$E$8,,1,1)</f>
        <v>0.05</v>
      </c>
      <c r="AM43" s="56">
        <f>(AH43)/AL43</f>
        <v>15061.311370164151</v>
      </c>
      <c r="AN43" s="56" t="str">
        <f>_xlfn.XLOOKUP(AM43,'LOOKUP VALUES'!$H$2:$H$14,'LOOKUP VALUES'!$I$2:$I$14,,1,1)</f>
        <v>25-35</v>
      </c>
    </row>
    <row r="44" spans="2:40" ht="15.6" x14ac:dyDescent="0.35">
      <c r="B44" s="50"/>
      <c r="C44" s="56"/>
      <c r="D44" s="52" t="s">
        <v>130</v>
      </c>
      <c r="E44" s="52" t="s">
        <v>131</v>
      </c>
      <c r="F44" s="52" t="s">
        <v>124</v>
      </c>
      <c r="G44" s="52" t="s">
        <v>125</v>
      </c>
      <c r="H44" s="52" t="s">
        <v>126</v>
      </c>
      <c r="I44" s="52" t="s">
        <v>127</v>
      </c>
      <c r="J44" s="52" t="s">
        <v>128</v>
      </c>
      <c r="L44" s="50"/>
      <c r="M44" s="56"/>
      <c r="N44" s="52" t="s">
        <v>130</v>
      </c>
      <c r="O44" s="52" t="s">
        <v>131</v>
      </c>
      <c r="P44" s="52" t="s">
        <v>124</v>
      </c>
      <c r="Q44" s="52" t="s">
        <v>125</v>
      </c>
      <c r="R44" s="52" t="s">
        <v>126</v>
      </c>
      <c r="S44" s="52" t="s">
        <v>127</v>
      </c>
      <c r="T44" s="52" t="s">
        <v>128</v>
      </c>
      <c r="V44" s="50"/>
      <c r="W44" s="56"/>
      <c r="X44" s="52" t="s">
        <v>130</v>
      </c>
      <c r="Y44" s="52" t="s">
        <v>131</v>
      </c>
      <c r="Z44" s="52" t="s">
        <v>124</v>
      </c>
      <c r="AA44" s="52" t="s">
        <v>125</v>
      </c>
      <c r="AB44" s="52" t="s">
        <v>126</v>
      </c>
      <c r="AC44" s="52" t="s">
        <v>127</v>
      </c>
      <c r="AD44" s="52" t="s">
        <v>128</v>
      </c>
      <c r="AF44" s="50"/>
      <c r="AG44" s="56"/>
      <c r="AH44" s="52" t="s">
        <v>130</v>
      </c>
      <c r="AI44" s="52" t="s">
        <v>131</v>
      </c>
      <c r="AJ44" s="52" t="s">
        <v>124</v>
      </c>
      <c r="AK44" s="52" t="s">
        <v>125</v>
      </c>
      <c r="AL44" s="52" t="s">
        <v>126</v>
      </c>
      <c r="AM44" s="52" t="s">
        <v>127</v>
      </c>
      <c r="AN44" s="52" t="s">
        <v>128</v>
      </c>
    </row>
    <row r="45" spans="2:40" x14ac:dyDescent="0.3">
      <c r="B45" s="50"/>
      <c r="C45" s="56"/>
      <c r="D45" s="55">
        <f>(C43*1000)/(SQRT(3)*$C$3)</f>
        <v>2008.1748493552202</v>
      </c>
      <c r="E45" s="55">
        <f>1.25*D45</f>
        <v>2510.2185616940251</v>
      </c>
      <c r="F45" s="56">
        <f>_xlfn.XLOOKUP(E45,'LOOKUP VALUES'!$A$2:$A$30,'LOOKUP VALUES'!$B$2:$B$30,,1,1)</f>
        <v>3000</v>
      </c>
      <c r="G45" s="56" t="str">
        <f>IF(C43&gt;1000,"ACB","MCCB")</f>
        <v>MCCB</v>
      </c>
      <c r="H45" s="57">
        <f>_xlfn.XLOOKUP(C43,'LOOKUP VALUES'!$D$1:$D$8,'LOOKUP VALUES'!$E$1:$E$8,,1,1)</f>
        <v>0.06</v>
      </c>
      <c r="I45" s="56">
        <f>(D45)/H45</f>
        <v>33469.580822587006</v>
      </c>
      <c r="J45" s="56" t="str">
        <f>_xlfn.XLOOKUP(I45,'LOOKUP VALUES'!$H$2:$H$14,'LOOKUP VALUES'!$I$2:$I$14,,1,1)</f>
        <v>60</v>
      </c>
      <c r="L45" s="50"/>
      <c r="M45" s="56"/>
      <c r="N45" s="55">
        <f>(M43*1000)/(SQRT(3)*$C$3)</f>
        <v>753.06556850820755</v>
      </c>
      <c r="O45" s="55">
        <f>1.25*N45</f>
        <v>941.33196063525941</v>
      </c>
      <c r="P45" s="56">
        <f>_xlfn.XLOOKUP(O45,'LOOKUP VALUES'!$A$2:$A$30,'LOOKUP VALUES'!$B$2:$B$30,,1,1)</f>
        <v>1000</v>
      </c>
      <c r="Q45" s="56" t="str">
        <f>IF(M43&gt;1000,"ACB","MCCB")</f>
        <v>MCCB</v>
      </c>
      <c r="R45" s="57">
        <f>_xlfn.XLOOKUP(M43,'LOOKUP VALUES'!$D$1:$D$8,'LOOKUP VALUES'!$E$1:$E$8,,1,1)</f>
        <v>0.04</v>
      </c>
      <c r="S45" s="56">
        <f>(N45)/R45</f>
        <v>18826.639212705188</v>
      </c>
      <c r="T45" s="56" t="str">
        <f>_xlfn.XLOOKUP(S45,'LOOKUP VALUES'!$H$2:$H$14,'LOOKUP VALUES'!$I$2:$I$14,,1,1)</f>
        <v>25-35</v>
      </c>
      <c r="V45" s="50"/>
      <c r="W45" s="56"/>
      <c r="X45" s="55">
        <f>(W43*1000)/(SQRT(3)*$C$3)</f>
        <v>753.06556850820755</v>
      </c>
      <c r="Y45" s="55">
        <f>1.25*X45</f>
        <v>941.33196063525941</v>
      </c>
      <c r="Z45" s="56">
        <f>_xlfn.XLOOKUP(Y45,'LOOKUP VALUES'!$A$2:$A$30,'LOOKUP VALUES'!$B$2:$B$30,,1,1)</f>
        <v>1000</v>
      </c>
      <c r="AA45" s="56" t="str">
        <f>IF(W43&gt;1000,"ACB","MCCB")</f>
        <v>MCCB</v>
      </c>
      <c r="AB45" s="57">
        <f>_xlfn.XLOOKUP(W43,'LOOKUP VALUES'!$D$1:$D$8,'LOOKUP VALUES'!$E$1:$E$8,,1,1)</f>
        <v>0.04</v>
      </c>
      <c r="AC45" s="56">
        <f>(X45)/AB45</f>
        <v>18826.639212705188</v>
      </c>
      <c r="AD45" s="56" t="str">
        <f>_xlfn.XLOOKUP(AC45,'LOOKUP VALUES'!$H$2:$H$14,'LOOKUP VALUES'!$I$2:$I$14,,1,1)</f>
        <v>25-35</v>
      </c>
      <c r="AF45" s="50"/>
      <c r="AG45" s="56"/>
      <c r="AH45" s="55">
        <f>(AG43*1000)/(SQRT(3)*$C$3)</f>
        <v>1506.1311370164151</v>
      </c>
      <c r="AI45" s="55">
        <f>1.25*AH45</f>
        <v>1882.6639212705188</v>
      </c>
      <c r="AJ45" s="56">
        <f>_xlfn.XLOOKUP(AI45,'LOOKUP VALUES'!$A$2:$A$30,'LOOKUP VALUES'!$B$2:$B$30,,1,1)</f>
        <v>2000</v>
      </c>
      <c r="AK45" s="56" t="str">
        <f>IF(AG43&gt;1000,"ACB","MCCB")</f>
        <v>MCCB</v>
      </c>
      <c r="AL45" s="57">
        <f>_xlfn.XLOOKUP(AG43,'LOOKUP VALUES'!$D$1:$D$8,'LOOKUP VALUES'!$E$1:$E$8,,1,1)</f>
        <v>0.05</v>
      </c>
      <c r="AM45" s="56">
        <f>(AH45)/AL45</f>
        <v>30122.622740328301</v>
      </c>
      <c r="AN45" s="56" t="str">
        <f>_xlfn.XLOOKUP(AM45,'LOOKUP VALUES'!$H$2:$H$14,'LOOKUP VALUES'!$I$2:$I$14,,1,1)</f>
        <v>60</v>
      </c>
    </row>
    <row r="46" spans="2:40" x14ac:dyDescent="0.3">
      <c r="B46" s="50"/>
      <c r="C46" s="50"/>
      <c r="D46" s="50"/>
      <c r="E46" s="50"/>
      <c r="F46" s="50"/>
      <c r="G46" s="50"/>
      <c r="H46" s="50"/>
      <c r="I46" s="50"/>
      <c r="J46" s="50"/>
      <c r="L46" s="50"/>
      <c r="M46" s="50"/>
      <c r="N46" s="50"/>
      <c r="O46" s="50"/>
      <c r="P46" s="50"/>
      <c r="Q46" s="50"/>
      <c r="R46" s="50"/>
      <c r="S46" s="50"/>
      <c r="T46" s="50"/>
      <c r="V46" s="50"/>
      <c r="W46" s="50"/>
      <c r="X46" s="50"/>
      <c r="Y46" s="50"/>
      <c r="Z46" s="50"/>
      <c r="AA46" s="50"/>
      <c r="AB46" s="50"/>
      <c r="AC46" s="50"/>
      <c r="AD46" s="50"/>
      <c r="AF46" s="50"/>
      <c r="AG46" s="50"/>
      <c r="AH46" s="50"/>
      <c r="AI46" s="50"/>
      <c r="AJ46" s="50"/>
      <c r="AK46" s="50"/>
      <c r="AL46" s="50"/>
      <c r="AM46" s="50"/>
      <c r="AN46" s="50"/>
    </row>
    <row r="47" spans="2:40" ht="15.6" x14ac:dyDescent="0.35">
      <c r="B47" s="50"/>
      <c r="C47" s="52" t="s">
        <v>77</v>
      </c>
      <c r="D47" s="52" t="s">
        <v>122</v>
      </c>
      <c r="E47" s="52" t="s">
        <v>123</v>
      </c>
      <c r="F47" s="52" t="s">
        <v>124</v>
      </c>
      <c r="G47" s="52" t="s">
        <v>125</v>
      </c>
      <c r="H47" s="52" t="s">
        <v>126</v>
      </c>
      <c r="I47" s="52" t="s">
        <v>127</v>
      </c>
      <c r="J47" s="52" t="s">
        <v>128</v>
      </c>
      <c r="L47" s="50"/>
      <c r="M47" s="52" t="s">
        <v>77</v>
      </c>
      <c r="N47" s="52" t="s">
        <v>122</v>
      </c>
      <c r="O47" s="52" t="s">
        <v>123</v>
      </c>
      <c r="P47" s="52" t="s">
        <v>124</v>
      </c>
      <c r="Q47" s="52" t="s">
        <v>125</v>
      </c>
      <c r="R47" s="52" t="s">
        <v>126</v>
      </c>
      <c r="S47" s="52" t="s">
        <v>127</v>
      </c>
      <c r="T47" s="52" t="s">
        <v>128</v>
      </c>
      <c r="V47" s="50"/>
      <c r="W47" s="52" t="s">
        <v>77</v>
      </c>
      <c r="X47" s="52" t="s">
        <v>122</v>
      </c>
      <c r="Y47" s="52" t="s">
        <v>123</v>
      </c>
      <c r="Z47" s="52" t="s">
        <v>124</v>
      </c>
      <c r="AA47" s="52" t="s">
        <v>125</v>
      </c>
      <c r="AB47" s="52" t="s">
        <v>126</v>
      </c>
      <c r="AC47" s="52" t="s">
        <v>127</v>
      </c>
      <c r="AD47" s="52" t="s">
        <v>128</v>
      </c>
      <c r="AF47" s="50"/>
      <c r="AG47" s="52" t="s">
        <v>77</v>
      </c>
      <c r="AH47" s="52" t="s">
        <v>122</v>
      </c>
      <c r="AI47" s="52" t="s">
        <v>123</v>
      </c>
      <c r="AJ47" s="52" t="s">
        <v>124</v>
      </c>
      <c r="AK47" s="52" t="s">
        <v>125</v>
      </c>
      <c r="AL47" s="52" t="s">
        <v>126</v>
      </c>
      <c r="AM47" s="52" t="s">
        <v>127</v>
      </c>
      <c r="AN47" s="52" t="s">
        <v>128</v>
      </c>
    </row>
    <row r="48" spans="2:40" ht="15.6" x14ac:dyDescent="0.35">
      <c r="B48" s="53" t="s">
        <v>139</v>
      </c>
      <c r="C48" s="54">
        <f>'STUDY AREA 1'!Y70</f>
        <v>300</v>
      </c>
      <c r="D48" s="55">
        <f>(C48*1000)/(SQRT(3)*$C$2)</f>
        <v>376.53278425410377</v>
      </c>
      <c r="E48" s="55">
        <f>1.25*D48</f>
        <v>470.6659803176297</v>
      </c>
      <c r="F48" s="56">
        <f>_xlfn.XLOOKUP(E48,'LOOKUP VALUES'!$A$2:$A$30,'LOOKUP VALUES'!$B$2:$B$30,,1,1)</f>
        <v>500</v>
      </c>
      <c r="G48" s="56" t="str">
        <f>IF(C48&gt;1000,"ACB","MCCB")</f>
        <v>MCCB</v>
      </c>
      <c r="H48" s="57">
        <f>_xlfn.XLOOKUP(C48,'LOOKUP VALUES'!$D$1:$D$8,'LOOKUP VALUES'!$E$1:$E$8,,1,1)</f>
        <v>0.04</v>
      </c>
      <c r="I48" s="56">
        <f>(D48)/H48</f>
        <v>9413.3196063525938</v>
      </c>
      <c r="J48" s="56" t="str">
        <f>_xlfn.XLOOKUP(I48,'LOOKUP VALUES'!$H$2:$H$14,'LOOKUP VALUES'!$I$2:$I$14,,1,1)</f>
        <v>15-18</v>
      </c>
      <c r="L48" s="53" t="s">
        <v>139</v>
      </c>
      <c r="M48" s="54">
        <f>'STUDY AREA 2'!Y68</f>
        <v>1000</v>
      </c>
      <c r="N48" s="55">
        <f>(M48*1000)/(SQRT(3)*$C$2)</f>
        <v>1255.1092808470125</v>
      </c>
      <c r="O48" s="55">
        <f>1.25*N48</f>
        <v>1568.8866010587658</v>
      </c>
      <c r="P48" s="56">
        <f>_xlfn.XLOOKUP(O48,'LOOKUP VALUES'!$A$2:$A$30,'LOOKUP VALUES'!$B$2:$B$30,,1,1)</f>
        <v>1600</v>
      </c>
      <c r="Q48" s="56" t="str">
        <f>IF(M48&gt;1000,"ACB","MCCB")</f>
        <v>MCCB</v>
      </c>
      <c r="R48" s="57">
        <f>_xlfn.XLOOKUP(M48,'LOOKUP VALUES'!$D$1:$D$8,'LOOKUP VALUES'!$E$1:$E$8,,1,1)</f>
        <v>0.06</v>
      </c>
      <c r="S48" s="56">
        <f>(N48)/R48</f>
        <v>20918.488014116876</v>
      </c>
      <c r="T48" s="56" t="str">
        <f>_xlfn.XLOOKUP(S48,'LOOKUP VALUES'!$H$2:$H$14,'LOOKUP VALUES'!$I$2:$I$14,,1,1)</f>
        <v>25-35</v>
      </c>
      <c r="V48" s="53" t="s">
        <v>139</v>
      </c>
      <c r="W48" s="54">
        <f>'STUDY AREA 3'!Y68</f>
        <v>500</v>
      </c>
      <c r="X48" s="55">
        <f>(W48*1000)/(SQRT(3)*$C$2)</f>
        <v>627.55464042350627</v>
      </c>
      <c r="Y48" s="55">
        <f>1.25*X48</f>
        <v>784.4433005293829</v>
      </c>
      <c r="Z48" s="56">
        <f>_xlfn.XLOOKUP(Y48,'LOOKUP VALUES'!$A$2:$A$30,'LOOKUP VALUES'!$B$2:$B$30,,1,1)</f>
        <v>800</v>
      </c>
      <c r="AA48" s="56" t="str">
        <f>IF(W48&gt;1000,"ACB","MCCB")</f>
        <v>MCCB</v>
      </c>
      <c r="AB48" s="57">
        <f>_xlfn.XLOOKUP(W48,'LOOKUP VALUES'!$D$1:$D$8,'LOOKUP VALUES'!$E$1:$E$8,,1,1)</f>
        <v>0.05</v>
      </c>
      <c r="AC48" s="56">
        <f>(X48)/AB48</f>
        <v>12551.092808470125</v>
      </c>
      <c r="AD48" s="56" t="str">
        <f>_xlfn.XLOOKUP(AC48,'LOOKUP VALUES'!$H$2:$H$14,'LOOKUP VALUES'!$I$2:$I$14,,1,1)</f>
        <v>25-35</v>
      </c>
      <c r="AF48" s="53" t="s">
        <v>139</v>
      </c>
      <c r="AG48" s="54">
        <f>'STUDY AREA 4'!Y70</f>
        <v>600</v>
      </c>
      <c r="AH48" s="55">
        <f>(AG48*1000)/(SQRT(3)*$C$2)</f>
        <v>753.06556850820755</v>
      </c>
      <c r="AI48" s="55">
        <f>1.25*AH48</f>
        <v>941.33196063525941</v>
      </c>
      <c r="AJ48" s="56">
        <f>_xlfn.XLOOKUP(AI48,'LOOKUP VALUES'!$A$2:$A$30,'LOOKUP VALUES'!$B$2:$B$30,,1,1)</f>
        <v>1000</v>
      </c>
      <c r="AK48" s="56" t="str">
        <f>IF(AG48&gt;1000,"ACB","MCCB")</f>
        <v>MCCB</v>
      </c>
      <c r="AL48" s="57">
        <f>_xlfn.XLOOKUP(AG48,'LOOKUP VALUES'!$D$1:$D$8,'LOOKUP VALUES'!$E$1:$E$8,,1,1)</f>
        <v>0.05</v>
      </c>
      <c r="AM48" s="56">
        <f>(AH48)/AL48</f>
        <v>15061.311370164151</v>
      </c>
      <c r="AN48" s="56" t="str">
        <f>_xlfn.XLOOKUP(AM48,'LOOKUP VALUES'!$H$2:$H$14,'LOOKUP VALUES'!$I$2:$I$14,,1,1)</f>
        <v>25-35</v>
      </c>
    </row>
    <row r="49" spans="2:40" ht="15.6" x14ac:dyDescent="0.35">
      <c r="B49" s="50"/>
      <c r="C49" s="56"/>
      <c r="D49" s="52" t="s">
        <v>130</v>
      </c>
      <c r="E49" s="52" t="s">
        <v>131</v>
      </c>
      <c r="F49" s="52" t="s">
        <v>124</v>
      </c>
      <c r="G49" s="52" t="s">
        <v>125</v>
      </c>
      <c r="H49" s="52" t="s">
        <v>126</v>
      </c>
      <c r="I49" s="52" t="s">
        <v>127</v>
      </c>
      <c r="J49" s="52" t="s">
        <v>128</v>
      </c>
      <c r="L49" s="50"/>
      <c r="M49" s="56"/>
      <c r="N49" s="52" t="s">
        <v>130</v>
      </c>
      <c r="O49" s="52" t="s">
        <v>131</v>
      </c>
      <c r="P49" s="52" t="s">
        <v>124</v>
      </c>
      <c r="Q49" s="52" t="s">
        <v>125</v>
      </c>
      <c r="R49" s="52" t="s">
        <v>126</v>
      </c>
      <c r="S49" s="52" t="s">
        <v>127</v>
      </c>
      <c r="T49" s="52" t="s">
        <v>128</v>
      </c>
      <c r="V49" s="50"/>
      <c r="W49" s="56"/>
      <c r="X49" s="52" t="s">
        <v>130</v>
      </c>
      <c r="Y49" s="52" t="s">
        <v>131</v>
      </c>
      <c r="Z49" s="52" t="s">
        <v>124</v>
      </c>
      <c r="AA49" s="52" t="s">
        <v>125</v>
      </c>
      <c r="AB49" s="52" t="s">
        <v>126</v>
      </c>
      <c r="AC49" s="52" t="s">
        <v>127</v>
      </c>
      <c r="AD49" s="52" t="s">
        <v>128</v>
      </c>
      <c r="AF49" s="50"/>
      <c r="AG49" s="56"/>
      <c r="AH49" s="52" t="s">
        <v>130</v>
      </c>
      <c r="AI49" s="52" t="s">
        <v>131</v>
      </c>
      <c r="AJ49" s="52" t="s">
        <v>124</v>
      </c>
      <c r="AK49" s="52" t="s">
        <v>125</v>
      </c>
      <c r="AL49" s="52" t="s">
        <v>126</v>
      </c>
      <c r="AM49" s="52" t="s">
        <v>127</v>
      </c>
      <c r="AN49" s="52" t="s">
        <v>128</v>
      </c>
    </row>
    <row r="50" spans="2:40" x14ac:dyDescent="0.3">
      <c r="B50" s="50"/>
      <c r="C50" s="56"/>
      <c r="D50" s="55">
        <f>(C48*1000)/(SQRT(3)*$C$3)</f>
        <v>753.06556850820755</v>
      </c>
      <c r="E50" s="55">
        <f>1.25*D50</f>
        <v>941.33196063525941</v>
      </c>
      <c r="F50" s="56">
        <f>_xlfn.XLOOKUP(E50,'LOOKUP VALUES'!$A$2:$A$30,'LOOKUP VALUES'!$B$2:$B$30,,1,1)</f>
        <v>1000</v>
      </c>
      <c r="G50" s="56" t="str">
        <f>IF(C48&gt;1000,"ACB","MCCB")</f>
        <v>MCCB</v>
      </c>
      <c r="H50" s="57">
        <f>_xlfn.XLOOKUP(C48,'LOOKUP VALUES'!$D$1:$D$8,'LOOKUP VALUES'!$E$1:$E$8,,1,1)</f>
        <v>0.04</v>
      </c>
      <c r="I50" s="56">
        <f>(D50)/H50</f>
        <v>18826.639212705188</v>
      </c>
      <c r="J50" s="56" t="str">
        <f>_xlfn.XLOOKUP(I50,'LOOKUP VALUES'!$H$2:$H$14,'LOOKUP VALUES'!$I$2:$I$14,,1,1)</f>
        <v>25-35</v>
      </c>
      <c r="L50" s="50"/>
      <c r="M50" s="56"/>
      <c r="N50" s="55">
        <f>(M48*1000)/(SQRT(3)*$C$3)</f>
        <v>2510.2185616940251</v>
      </c>
      <c r="O50" s="55">
        <f>1.25*N50</f>
        <v>3137.7732021175316</v>
      </c>
      <c r="P50" s="56">
        <f>_xlfn.XLOOKUP(O50,'LOOKUP VALUES'!$A$2:$A$30,'LOOKUP VALUES'!$B$2:$B$30,,1,1)</f>
        <v>4000</v>
      </c>
      <c r="Q50" s="56" t="str">
        <f>IF(M48&gt;1000,"ACB","MCCB")</f>
        <v>MCCB</v>
      </c>
      <c r="R50" s="57">
        <f>_xlfn.XLOOKUP(M48,'LOOKUP VALUES'!$D$1:$D$8,'LOOKUP VALUES'!$E$1:$E$8,,1,1)</f>
        <v>0.06</v>
      </c>
      <c r="S50" s="56">
        <f>(N50)/R50</f>
        <v>41836.976028233752</v>
      </c>
      <c r="T50" s="56" t="str">
        <f>_xlfn.XLOOKUP(S50,'LOOKUP VALUES'!$H$2:$H$14,'LOOKUP VALUES'!$I$2:$I$14,,1,1)</f>
        <v>60</v>
      </c>
      <c r="V50" s="50"/>
      <c r="W50" s="56"/>
      <c r="X50" s="55">
        <f>(W48*1000)/(SQRT(3)*$C$3)</f>
        <v>1255.1092808470125</v>
      </c>
      <c r="Y50" s="55">
        <f>1.25*X50</f>
        <v>1568.8866010587658</v>
      </c>
      <c r="Z50" s="56">
        <f>_xlfn.XLOOKUP(Y50,'LOOKUP VALUES'!$A$2:$A$30,'LOOKUP VALUES'!$B$2:$B$30,,1,1)</f>
        <v>1600</v>
      </c>
      <c r="AA50" s="56" t="str">
        <f>IF(W48&gt;1000,"ACB","MCCB")</f>
        <v>MCCB</v>
      </c>
      <c r="AB50" s="57">
        <f>_xlfn.XLOOKUP(W48,'LOOKUP VALUES'!$D$1:$D$8,'LOOKUP VALUES'!$E$1:$E$8,,1,1)</f>
        <v>0.05</v>
      </c>
      <c r="AC50" s="56">
        <f>(X50)/AB50</f>
        <v>25102.185616940249</v>
      </c>
      <c r="AD50" s="56" t="str">
        <f>_xlfn.XLOOKUP(AC50,'LOOKUP VALUES'!$H$2:$H$14,'LOOKUP VALUES'!$I$2:$I$14,,1,1)</f>
        <v>60</v>
      </c>
      <c r="AF50" s="50"/>
      <c r="AG50" s="56"/>
      <c r="AH50" s="55">
        <f>(AG48*1000)/(SQRT(3)*$C$3)</f>
        <v>1506.1311370164151</v>
      </c>
      <c r="AI50" s="55">
        <f>1.25*AH50</f>
        <v>1882.6639212705188</v>
      </c>
      <c r="AJ50" s="56">
        <f>_xlfn.XLOOKUP(AI50,'LOOKUP VALUES'!$A$2:$A$30,'LOOKUP VALUES'!$B$2:$B$30,,1,1)</f>
        <v>2000</v>
      </c>
      <c r="AK50" s="56" t="str">
        <f>IF(AG48&gt;1000,"ACB","MCCB")</f>
        <v>MCCB</v>
      </c>
      <c r="AL50" s="57">
        <f>_xlfn.XLOOKUP(AG48,'LOOKUP VALUES'!$D$1:$D$8,'LOOKUP VALUES'!$E$1:$E$8,,1,1)</f>
        <v>0.05</v>
      </c>
      <c r="AM50" s="56">
        <f>(AH50)/AL50</f>
        <v>30122.622740328301</v>
      </c>
      <c r="AN50" s="56" t="str">
        <f>_xlfn.XLOOKUP(AM50,'LOOKUP VALUES'!$H$2:$H$14,'LOOKUP VALUES'!$I$2:$I$14,,1,1)</f>
        <v>60</v>
      </c>
    </row>
    <row r="51" spans="2:40" x14ac:dyDescent="0.3">
      <c r="B51" s="51"/>
      <c r="C51" s="50"/>
      <c r="D51" s="50"/>
      <c r="E51" s="50"/>
      <c r="F51" s="50"/>
      <c r="G51" s="50"/>
      <c r="H51" s="50"/>
      <c r="I51" s="50"/>
      <c r="J51" s="50"/>
      <c r="L51" s="51"/>
      <c r="M51" s="50"/>
      <c r="N51" s="50"/>
      <c r="O51" s="50"/>
      <c r="P51" s="50"/>
      <c r="Q51" s="50"/>
      <c r="R51" s="50"/>
      <c r="S51" s="50"/>
      <c r="T51" s="50"/>
      <c r="V51" s="51"/>
      <c r="W51" s="50"/>
      <c r="X51" s="50"/>
      <c r="Y51" s="50"/>
      <c r="Z51" s="50"/>
      <c r="AA51" s="50"/>
      <c r="AB51" s="50"/>
      <c r="AC51" s="50"/>
      <c r="AD51" s="50"/>
      <c r="AF51" s="51"/>
      <c r="AG51" s="50"/>
      <c r="AH51" s="50"/>
      <c r="AI51" s="50"/>
      <c r="AJ51" s="50"/>
      <c r="AK51" s="50"/>
      <c r="AL51" s="50"/>
      <c r="AM51" s="50"/>
      <c r="AN51" s="50"/>
    </row>
    <row r="52" spans="2:40" ht="15.6" x14ac:dyDescent="0.35">
      <c r="B52" s="50"/>
      <c r="C52" s="52" t="s">
        <v>77</v>
      </c>
      <c r="D52" s="52" t="s">
        <v>122</v>
      </c>
      <c r="E52" s="52" t="s">
        <v>123</v>
      </c>
      <c r="F52" s="52" t="s">
        <v>124</v>
      </c>
      <c r="G52" s="52" t="s">
        <v>125</v>
      </c>
      <c r="H52" s="52" t="s">
        <v>126</v>
      </c>
      <c r="I52" s="52" t="s">
        <v>127</v>
      </c>
      <c r="J52" s="52" t="s">
        <v>128</v>
      </c>
      <c r="L52" s="50"/>
      <c r="M52" s="52" t="s">
        <v>77</v>
      </c>
      <c r="N52" s="52" t="s">
        <v>122</v>
      </c>
      <c r="O52" s="52" t="s">
        <v>123</v>
      </c>
      <c r="P52" s="52" t="s">
        <v>124</v>
      </c>
      <c r="Q52" s="52" t="s">
        <v>125</v>
      </c>
      <c r="R52" s="52" t="s">
        <v>126</v>
      </c>
      <c r="S52" s="52" t="s">
        <v>127</v>
      </c>
      <c r="T52" s="52" t="s">
        <v>128</v>
      </c>
      <c r="V52" s="50"/>
      <c r="W52" s="52" t="s">
        <v>77</v>
      </c>
      <c r="X52" s="52" t="s">
        <v>122</v>
      </c>
      <c r="Y52" s="52" t="s">
        <v>123</v>
      </c>
      <c r="Z52" s="52" t="s">
        <v>124</v>
      </c>
      <c r="AA52" s="52" t="s">
        <v>125</v>
      </c>
      <c r="AB52" s="52" t="s">
        <v>126</v>
      </c>
      <c r="AC52" s="52" t="s">
        <v>127</v>
      </c>
      <c r="AD52" s="52" t="s">
        <v>128</v>
      </c>
      <c r="AF52" s="50"/>
      <c r="AG52" s="52" t="s">
        <v>77</v>
      </c>
      <c r="AH52" s="52" t="s">
        <v>122</v>
      </c>
      <c r="AI52" s="52" t="s">
        <v>123</v>
      </c>
      <c r="AJ52" s="52" t="s">
        <v>124</v>
      </c>
      <c r="AK52" s="52" t="s">
        <v>125</v>
      </c>
      <c r="AL52" s="52" t="s">
        <v>126</v>
      </c>
      <c r="AM52" s="52" t="s">
        <v>127</v>
      </c>
      <c r="AN52" s="52" t="s">
        <v>128</v>
      </c>
    </row>
    <row r="53" spans="2:40" ht="15.6" x14ac:dyDescent="0.35">
      <c r="B53" s="53" t="s">
        <v>140</v>
      </c>
      <c r="C53" s="54">
        <f>'STUDY AREA 1'!Y78</f>
        <v>225</v>
      </c>
      <c r="D53" s="55">
        <f>(C53*1000)/(SQRT(3)*$C$2)</f>
        <v>282.39958819057784</v>
      </c>
      <c r="E53" s="55">
        <f>1.25*D53</f>
        <v>352.99948523822229</v>
      </c>
      <c r="F53" s="56">
        <f>_xlfn.XLOOKUP(E53,'LOOKUP VALUES'!$A$2:$A$30,'LOOKUP VALUES'!$B$2:$B$30,,1,1)</f>
        <v>400</v>
      </c>
      <c r="G53" s="56" t="str">
        <f>IF(C53&gt;1000,"ACB","MCCB")</f>
        <v>MCCB</v>
      </c>
      <c r="H53" s="57">
        <f>_xlfn.XLOOKUP(C53,'LOOKUP VALUES'!$D$1:$D$8,'LOOKUP VALUES'!$E$1:$E$8,,1,1)</f>
        <v>0.04</v>
      </c>
      <c r="I53" s="56">
        <f>(D53)/H53</f>
        <v>7059.9897047644463</v>
      </c>
      <c r="J53" s="56">
        <f>_xlfn.XLOOKUP(I53,'LOOKUP VALUES'!$H$2:$H$14,'LOOKUP VALUES'!$I$2:$I$14,,1,1)</f>
        <v>10</v>
      </c>
      <c r="L53" s="53" t="s">
        <v>140</v>
      </c>
      <c r="M53" s="54">
        <f>'STUDY AREA 2'!Y76</f>
        <v>500</v>
      </c>
      <c r="N53" s="55">
        <f>(M53*1000)/(SQRT(3)*$C$2)</f>
        <v>627.55464042350627</v>
      </c>
      <c r="O53" s="55">
        <f>1.25*N53</f>
        <v>784.4433005293829</v>
      </c>
      <c r="P53" s="56">
        <f>_xlfn.XLOOKUP(O53,'LOOKUP VALUES'!$A$2:$A$30,'LOOKUP VALUES'!$B$2:$B$30,,1,1)</f>
        <v>800</v>
      </c>
      <c r="Q53" s="56" t="str">
        <f>IF(M53&gt;1000,"ACB","MCCB")</f>
        <v>MCCB</v>
      </c>
      <c r="R53" s="57">
        <f>_xlfn.XLOOKUP(M53,'LOOKUP VALUES'!$D$1:$D$8,'LOOKUP VALUES'!$E$1:$E$8,,1,1)</f>
        <v>0.05</v>
      </c>
      <c r="S53" s="56">
        <f>(N53)/R53</f>
        <v>12551.092808470125</v>
      </c>
      <c r="T53" s="56" t="str">
        <f>_xlfn.XLOOKUP(S53,'LOOKUP VALUES'!$H$2:$H$14,'LOOKUP VALUES'!$I$2:$I$14,,1,1)</f>
        <v>25-35</v>
      </c>
      <c r="V53" s="53" t="s">
        <v>140</v>
      </c>
      <c r="W53" s="54">
        <f>'STUDY AREA 3'!Y77</f>
        <v>225</v>
      </c>
      <c r="X53" s="55">
        <f>(W53*1000)/(SQRT(3)*$C$2)</f>
        <v>282.39958819057784</v>
      </c>
      <c r="Y53" s="55">
        <f>1.25*X53</f>
        <v>352.99948523822229</v>
      </c>
      <c r="Z53" s="56">
        <f>_xlfn.XLOOKUP(Y53,'LOOKUP VALUES'!$A$2:$A$30,'LOOKUP VALUES'!$B$2:$B$30,,1,1)</f>
        <v>400</v>
      </c>
      <c r="AA53" s="56" t="str">
        <f>IF(W53&gt;1000,"ACB","MCCB")</f>
        <v>MCCB</v>
      </c>
      <c r="AB53" s="57">
        <f>_xlfn.XLOOKUP(W53,'LOOKUP VALUES'!$D$1:$D$8,'LOOKUP VALUES'!$E$1:$E$8,,1,1)</f>
        <v>0.04</v>
      </c>
      <c r="AC53" s="56">
        <f>(X53)/AB53</f>
        <v>7059.9897047644463</v>
      </c>
      <c r="AD53" s="56">
        <f>_xlfn.XLOOKUP(AC53,'LOOKUP VALUES'!$H$2:$H$14,'LOOKUP VALUES'!$I$2:$I$14,,1,1)</f>
        <v>10</v>
      </c>
      <c r="AF53" s="53" t="s">
        <v>140</v>
      </c>
      <c r="AG53" s="54">
        <f>'STUDY AREA 4'!Y78</f>
        <v>150</v>
      </c>
      <c r="AH53" s="55">
        <f>(AG53*1000)/(SQRT(3)*$C$2)</f>
        <v>188.26639212705189</v>
      </c>
      <c r="AI53" s="55">
        <f>1.25*AH53</f>
        <v>235.33299015881485</v>
      </c>
      <c r="AJ53" s="56">
        <f>_xlfn.XLOOKUP(AI53,'LOOKUP VALUES'!$A$2:$A$30,'LOOKUP VALUES'!$B$2:$B$30,,1,1)</f>
        <v>250</v>
      </c>
      <c r="AK53" s="56" t="str">
        <f>IF(AG53&gt;1000,"ACB","MCCB")</f>
        <v>MCCB</v>
      </c>
      <c r="AL53" s="57">
        <f>_xlfn.XLOOKUP(AG53,'LOOKUP VALUES'!$D$1:$D$8,'LOOKUP VALUES'!$E$1:$E$8,,1,1)</f>
        <v>0.04</v>
      </c>
      <c r="AM53" s="56">
        <f>(AH53)/AL53</f>
        <v>4706.6598031762969</v>
      </c>
      <c r="AN53" s="56">
        <f>_xlfn.XLOOKUP(AM53,'LOOKUP VALUES'!$H$2:$H$14,'LOOKUP VALUES'!$I$2:$I$14,,1,1)</f>
        <v>10</v>
      </c>
    </row>
    <row r="54" spans="2:40" ht="15.6" x14ac:dyDescent="0.35">
      <c r="B54" s="50"/>
      <c r="C54" s="56"/>
      <c r="D54" s="52" t="s">
        <v>130</v>
      </c>
      <c r="E54" s="52" t="s">
        <v>131</v>
      </c>
      <c r="F54" s="52" t="s">
        <v>124</v>
      </c>
      <c r="G54" s="52" t="s">
        <v>125</v>
      </c>
      <c r="H54" s="52" t="s">
        <v>126</v>
      </c>
      <c r="I54" s="52" t="s">
        <v>127</v>
      </c>
      <c r="J54" s="52" t="s">
        <v>128</v>
      </c>
      <c r="L54" s="50"/>
      <c r="M54" s="56"/>
      <c r="N54" s="52" t="s">
        <v>130</v>
      </c>
      <c r="O54" s="52" t="s">
        <v>131</v>
      </c>
      <c r="P54" s="52" t="s">
        <v>124</v>
      </c>
      <c r="Q54" s="52" t="s">
        <v>125</v>
      </c>
      <c r="R54" s="52" t="s">
        <v>126</v>
      </c>
      <c r="S54" s="52" t="s">
        <v>127</v>
      </c>
      <c r="T54" s="52" t="s">
        <v>128</v>
      </c>
      <c r="V54" s="50"/>
      <c r="W54" s="56"/>
      <c r="X54" s="52" t="s">
        <v>130</v>
      </c>
      <c r="Y54" s="52" t="s">
        <v>131</v>
      </c>
      <c r="Z54" s="52" t="s">
        <v>124</v>
      </c>
      <c r="AA54" s="52" t="s">
        <v>125</v>
      </c>
      <c r="AB54" s="52" t="s">
        <v>126</v>
      </c>
      <c r="AC54" s="52" t="s">
        <v>127</v>
      </c>
      <c r="AD54" s="52" t="s">
        <v>128</v>
      </c>
      <c r="AF54" s="50"/>
      <c r="AG54" s="56"/>
      <c r="AH54" s="52" t="s">
        <v>130</v>
      </c>
      <c r="AI54" s="52" t="s">
        <v>131</v>
      </c>
      <c r="AJ54" s="52" t="s">
        <v>124</v>
      </c>
      <c r="AK54" s="52" t="s">
        <v>125</v>
      </c>
      <c r="AL54" s="52" t="s">
        <v>126</v>
      </c>
      <c r="AM54" s="52" t="s">
        <v>127</v>
      </c>
      <c r="AN54" s="52" t="s">
        <v>128</v>
      </c>
    </row>
    <row r="55" spans="2:40" x14ac:dyDescent="0.3">
      <c r="B55" s="50"/>
      <c r="C55" s="56"/>
      <c r="D55" s="55">
        <f>(C53*1000)/(SQRT(3)*$C$3)</f>
        <v>564.79917638115569</v>
      </c>
      <c r="E55" s="55">
        <f>1.25*D55</f>
        <v>705.99897047644458</v>
      </c>
      <c r="F55" s="56">
        <f>_xlfn.XLOOKUP(E55,'LOOKUP VALUES'!$A$2:$A$30,'LOOKUP VALUES'!$B$2:$B$30,,1,1)</f>
        <v>800</v>
      </c>
      <c r="G55" s="56" t="str">
        <f>IF(C53&gt;1000,"ACB","MCCB")</f>
        <v>MCCB</v>
      </c>
      <c r="H55" s="57">
        <f>_xlfn.XLOOKUP(C53,'LOOKUP VALUES'!$D$1:$D$8,'LOOKUP VALUES'!$E$1:$E$8,,1,1)</f>
        <v>0.04</v>
      </c>
      <c r="I55" s="56">
        <f>(D55)/H55</f>
        <v>14119.979409528893</v>
      </c>
      <c r="J55" s="56" t="str">
        <f>_xlfn.XLOOKUP(I55,'LOOKUP VALUES'!$H$2:$H$14,'LOOKUP VALUES'!$I$2:$I$14,,1,1)</f>
        <v>25-35</v>
      </c>
      <c r="L55" s="50"/>
      <c r="M55" s="56"/>
      <c r="N55" s="55">
        <f>(M53*1000)/(SQRT(3)*$C$3)</f>
        <v>1255.1092808470125</v>
      </c>
      <c r="O55" s="55">
        <f>1.25*N55</f>
        <v>1568.8866010587658</v>
      </c>
      <c r="P55" s="56">
        <f>_xlfn.XLOOKUP(O55,'LOOKUP VALUES'!$A$2:$A$30,'LOOKUP VALUES'!$B$2:$B$30,,1,1)</f>
        <v>1600</v>
      </c>
      <c r="Q55" s="56" t="str">
        <f>IF(M53&gt;1000,"ACB","MCCB")</f>
        <v>MCCB</v>
      </c>
      <c r="R55" s="57">
        <f>_xlfn.XLOOKUP(M53,'LOOKUP VALUES'!$D$1:$D$8,'LOOKUP VALUES'!$E$1:$E$8,,1,1)</f>
        <v>0.05</v>
      </c>
      <c r="S55" s="56">
        <f>(N55)/R55</f>
        <v>25102.185616940249</v>
      </c>
      <c r="T55" s="56" t="str">
        <f>_xlfn.XLOOKUP(S55,'LOOKUP VALUES'!$H$2:$H$14,'LOOKUP VALUES'!$I$2:$I$14,,1,1)</f>
        <v>60</v>
      </c>
      <c r="V55" s="50"/>
      <c r="W55" s="56"/>
      <c r="X55" s="55">
        <f>(W53*1000)/(SQRT(3)*$C$3)</f>
        <v>564.79917638115569</v>
      </c>
      <c r="Y55" s="55">
        <f>1.25*X55</f>
        <v>705.99897047644458</v>
      </c>
      <c r="Z55" s="56">
        <f>_xlfn.XLOOKUP(Y55,'LOOKUP VALUES'!$A$2:$A$30,'LOOKUP VALUES'!$B$2:$B$30,,1,1)</f>
        <v>800</v>
      </c>
      <c r="AA55" s="56" t="str">
        <f>IF(W53&gt;1000,"ACB","MCCB")</f>
        <v>MCCB</v>
      </c>
      <c r="AB55" s="57">
        <f>_xlfn.XLOOKUP(W53,'LOOKUP VALUES'!$D$1:$D$8,'LOOKUP VALUES'!$E$1:$E$8,,1,1)</f>
        <v>0.04</v>
      </c>
      <c r="AC55" s="56">
        <f>(X55)/AB55</f>
        <v>14119.979409528893</v>
      </c>
      <c r="AD55" s="56" t="str">
        <f>_xlfn.XLOOKUP(AC55,'LOOKUP VALUES'!$H$2:$H$14,'LOOKUP VALUES'!$I$2:$I$14,,1,1)</f>
        <v>25-35</v>
      </c>
      <c r="AF55" s="50"/>
      <c r="AG55" s="56"/>
      <c r="AH55" s="55">
        <f>(AG53*1000)/(SQRT(3)*$C$3)</f>
        <v>376.53278425410377</v>
      </c>
      <c r="AI55" s="55">
        <f>1.25*AH55</f>
        <v>470.6659803176297</v>
      </c>
      <c r="AJ55" s="56">
        <f>_xlfn.XLOOKUP(AI55,'LOOKUP VALUES'!$A$2:$A$30,'LOOKUP VALUES'!$B$2:$B$30,,1,1)</f>
        <v>500</v>
      </c>
      <c r="AK55" s="56" t="str">
        <f>IF(AG53&gt;1000,"ACB","MCCB")</f>
        <v>MCCB</v>
      </c>
      <c r="AL55" s="57">
        <f>_xlfn.XLOOKUP(AG53,'LOOKUP VALUES'!$D$1:$D$8,'LOOKUP VALUES'!$E$1:$E$8,,1,1)</f>
        <v>0.04</v>
      </c>
      <c r="AM55" s="56">
        <f>(AH55)/AL55</f>
        <v>9413.3196063525938</v>
      </c>
      <c r="AN55" s="56" t="str">
        <f>_xlfn.XLOOKUP(AM55,'LOOKUP VALUES'!$H$2:$H$14,'LOOKUP VALUES'!$I$2:$I$14,,1,1)</f>
        <v>15-18</v>
      </c>
    </row>
    <row r="56" spans="2:40" x14ac:dyDescent="0.3">
      <c r="B56" s="50"/>
      <c r="C56" s="50"/>
      <c r="D56" s="50"/>
      <c r="E56" s="50"/>
      <c r="F56" s="50"/>
      <c r="G56" s="50"/>
      <c r="H56" s="50"/>
      <c r="I56" s="50"/>
      <c r="J56" s="50"/>
      <c r="L56" s="50"/>
      <c r="M56" s="50"/>
      <c r="N56" s="50"/>
      <c r="O56" s="50"/>
      <c r="P56" s="50"/>
      <c r="Q56" s="50"/>
      <c r="R56" s="50"/>
      <c r="S56" s="50"/>
      <c r="T56" s="50"/>
      <c r="V56" s="50"/>
      <c r="W56" s="50"/>
      <c r="X56" s="50"/>
      <c r="Y56" s="50"/>
      <c r="Z56" s="50"/>
      <c r="AA56" s="50"/>
      <c r="AB56" s="50"/>
      <c r="AC56" s="50"/>
      <c r="AD56" s="50"/>
      <c r="AF56" s="50"/>
      <c r="AG56" s="50"/>
      <c r="AH56" s="50"/>
      <c r="AI56" s="50"/>
      <c r="AJ56" s="50"/>
      <c r="AK56" s="50"/>
      <c r="AL56" s="50"/>
      <c r="AM56" s="50"/>
      <c r="AN56" s="50"/>
    </row>
    <row r="57" spans="2:40" ht="15.6" x14ac:dyDescent="0.35">
      <c r="B57" s="51"/>
      <c r="C57" s="52" t="s">
        <v>77</v>
      </c>
      <c r="D57" s="52" t="s">
        <v>122</v>
      </c>
      <c r="E57" s="52" t="s">
        <v>123</v>
      </c>
      <c r="F57" s="52" t="s">
        <v>124</v>
      </c>
      <c r="G57" s="52" t="s">
        <v>125</v>
      </c>
      <c r="H57" s="52" t="s">
        <v>126</v>
      </c>
      <c r="I57" s="52" t="s">
        <v>127</v>
      </c>
      <c r="J57" s="52" t="s">
        <v>128</v>
      </c>
      <c r="L57" s="51"/>
      <c r="M57" s="52" t="s">
        <v>77</v>
      </c>
      <c r="N57" s="52" t="s">
        <v>122</v>
      </c>
      <c r="O57" s="52" t="s">
        <v>123</v>
      </c>
      <c r="P57" s="52" t="s">
        <v>124</v>
      </c>
      <c r="Q57" s="52" t="s">
        <v>125</v>
      </c>
      <c r="R57" s="52" t="s">
        <v>126</v>
      </c>
      <c r="S57" s="52" t="s">
        <v>127</v>
      </c>
      <c r="T57" s="52" t="s">
        <v>128</v>
      </c>
      <c r="V57" s="51"/>
      <c r="W57" s="52" t="s">
        <v>77</v>
      </c>
      <c r="X57" s="52" t="s">
        <v>122</v>
      </c>
      <c r="Y57" s="52" t="s">
        <v>123</v>
      </c>
      <c r="Z57" s="52" t="s">
        <v>124</v>
      </c>
      <c r="AA57" s="52" t="s">
        <v>125</v>
      </c>
      <c r="AB57" s="52" t="s">
        <v>126</v>
      </c>
      <c r="AC57" s="52" t="s">
        <v>127</v>
      </c>
      <c r="AD57" s="52" t="s">
        <v>128</v>
      </c>
      <c r="AF57" s="51"/>
      <c r="AG57" s="52" t="s">
        <v>77</v>
      </c>
      <c r="AH57" s="52" t="s">
        <v>122</v>
      </c>
      <c r="AI57" s="52" t="s">
        <v>123</v>
      </c>
      <c r="AJ57" s="52" t="s">
        <v>124</v>
      </c>
      <c r="AK57" s="52" t="s">
        <v>125</v>
      </c>
      <c r="AL57" s="52" t="s">
        <v>126</v>
      </c>
      <c r="AM57" s="52" t="s">
        <v>127</v>
      </c>
      <c r="AN57" s="52" t="s">
        <v>128</v>
      </c>
    </row>
    <row r="58" spans="2:40" ht="15.6" x14ac:dyDescent="0.35">
      <c r="B58" s="53" t="s">
        <v>141</v>
      </c>
      <c r="C58" s="54">
        <f>'STUDY AREA 1'!Y86</f>
        <v>450</v>
      </c>
      <c r="D58" s="55">
        <f>(C58*1000)/(SQRT(3)*$C$2)</f>
        <v>564.79917638115569</v>
      </c>
      <c r="E58" s="55">
        <f>1.25*D58</f>
        <v>705.99897047644458</v>
      </c>
      <c r="F58" s="56">
        <f>_xlfn.XLOOKUP(E58,'LOOKUP VALUES'!$A$2:$A$30,'LOOKUP VALUES'!$B$2:$B$30,,1,1)</f>
        <v>800</v>
      </c>
      <c r="G58" s="56" t="str">
        <f>IF(C58&gt;1000,"ACB","MCCB")</f>
        <v>MCCB</v>
      </c>
      <c r="H58" s="57">
        <f>_xlfn.XLOOKUP(C58,'LOOKUP VALUES'!$D$1:$D$8,'LOOKUP VALUES'!$E$1:$E$8,,1,1)</f>
        <v>0.05</v>
      </c>
      <c r="I58" s="56">
        <f>(D58)/H58</f>
        <v>11295.983527623113</v>
      </c>
      <c r="J58" s="56" t="str">
        <f>_xlfn.XLOOKUP(I58,'LOOKUP VALUES'!$H$2:$H$14,'LOOKUP VALUES'!$I$2:$I$14,,1,1)</f>
        <v>15-18</v>
      </c>
      <c r="L58" s="53" t="s">
        <v>141</v>
      </c>
      <c r="M58" s="54">
        <f>'STUDY AREA 2'!Y84</f>
        <v>300</v>
      </c>
      <c r="N58" s="55">
        <f>(M58*1000)/(SQRT(3)*$C$2)</f>
        <v>376.53278425410377</v>
      </c>
      <c r="O58" s="55">
        <f>1.25*N58</f>
        <v>470.6659803176297</v>
      </c>
      <c r="P58" s="56">
        <f>_xlfn.XLOOKUP(O58,'LOOKUP VALUES'!$A$2:$A$30,'LOOKUP VALUES'!$B$2:$B$30,,1,1)</f>
        <v>500</v>
      </c>
      <c r="Q58" s="56" t="str">
        <f>IF(M58&gt;1000,"ACB","MCCB")</f>
        <v>MCCB</v>
      </c>
      <c r="R58" s="57">
        <f>_xlfn.XLOOKUP(M58,'LOOKUP VALUES'!$D$1:$D$8,'LOOKUP VALUES'!$E$1:$E$8,,1,1)</f>
        <v>0.04</v>
      </c>
      <c r="S58" s="56">
        <f>(N58)/R58</f>
        <v>9413.3196063525938</v>
      </c>
      <c r="T58" s="56" t="str">
        <f>_xlfn.XLOOKUP(S58,'LOOKUP VALUES'!$H$2:$H$14,'LOOKUP VALUES'!$I$2:$I$14,,1,1)</f>
        <v>15-18</v>
      </c>
      <c r="V58" s="53" t="s">
        <v>141</v>
      </c>
      <c r="W58" s="54">
        <f>'STUDY AREA 3'!Y85</f>
        <v>225</v>
      </c>
      <c r="X58" s="55">
        <f>(W58*1000)/(SQRT(3)*$C$2)</f>
        <v>282.39958819057784</v>
      </c>
      <c r="Y58" s="55">
        <f>1.25*X58</f>
        <v>352.99948523822229</v>
      </c>
      <c r="Z58" s="56">
        <f>_xlfn.XLOOKUP(Y58,'LOOKUP VALUES'!$A$2:$A$30,'LOOKUP VALUES'!$B$2:$B$30,,1,1)</f>
        <v>400</v>
      </c>
      <c r="AA58" s="56" t="str">
        <f>IF(W58&gt;1000,"ACB","MCCB")</f>
        <v>MCCB</v>
      </c>
      <c r="AB58" s="57">
        <f>_xlfn.XLOOKUP(W58,'LOOKUP VALUES'!$D$1:$D$8,'LOOKUP VALUES'!$E$1:$E$8,,1,1)</f>
        <v>0.04</v>
      </c>
      <c r="AC58" s="56">
        <f>(X58)/AB58</f>
        <v>7059.9897047644463</v>
      </c>
      <c r="AD58" s="56">
        <f>_xlfn.XLOOKUP(AC58,'LOOKUP VALUES'!$H$2:$H$14,'LOOKUP VALUES'!$I$2:$I$14,,1,1)</f>
        <v>10</v>
      </c>
      <c r="AF58" s="53" t="s">
        <v>141</v>
      </c>
      <c r="AG58" s="54">
        <f>'STUDY AREA 4'!Y86</f>
        <v>112.5</v>
      </c>
      <c r="AH58" s="55">
        <f>(AG58*1000)/(SQRT(3)*$C$2)</f>
        <v>141.19979409528892</v>
      </c>
      <c r="AI58" s="55">
        <f>1.25*AH58</f>
        <v>176.49974261911115</v>
      </c>
      <c r="AJ58" s="56">
        <f>_xlfn.XLOOKUP(AI58,'LOOKUP VALUES'!$A$2:$A$30,'LOOKUP VALUES'!$B$2:$B$30,,1,1)</f>
        <v>200</v>
      </c>
      <c r="AK58" s="56" t="str">
        <f>IF(AG58&gt;1000,"ACB","MCCB")</f>
        <v>MCCB</v>
      </c>
      <c r="AL58" s="57">
        <f>_xlfn.XLOOKUP(AG58,'LOOKUP VALUES'!$D$1:$D$8,'LOOKUP VALUES'!$E$1:$E$8,,1,1)</f>
        <v>0.04</v>
      </c>
      <c r="AM58" s="56">
        <f>(AH58)/AL58</f>
        <v>3529.9948523822231</v>
      </c>
      <c r="AN58" s="56" t="str">
        <f>_xlfn.XLOOKUP(AM58,'LOOKUP VALUES'!$H$2:$H$14,'LOOKUP VALUES'!$I$2:$I$14,,1,1)</f>
        <v>6-10</v>
      </c>
    </row>
    <row r="59" spans="2:40" ht="15.6" x14ac:dyDescent="0.35">
      <c r="B59" s="50"/>
      <c r="C59" s="56"/>
      <c r="D59" s="52" t="s">
        <v>130</v>
      </c>
      <c r="E59" s="52" t="s">
        <v>131</v>
      </c>
      <c r="F59" s="52" t="s">
        <v>124</v>
      </c>
      <c r="G59" s="52" t="s">
        <v>125</v>
      </c>
      <c r="H59" s="52" t="s">
        <v>126</v>
      </c>
      <c r="I59" s="52" t="s">
        <v>127</v>
      </c>
      <c r="J59" s="52" t="s">
        <v>128</v>
      </c>
      <c r="L59" s="50"/>
      <c r="M59" s="56"/>
      <c r="N59" s="52" t="s">
        <v>130</v>
      </c>
      <c r="O59" s="52" t="s">
        <v>131</v>
      </c>
      <c r="P59" s="52" t="s">
        <v>124</v>
      </c>
      <c r="Q59" s="52" t="s">
        <v>125</v>
      </c>
      <c r="R59" s="52" t="s">
        <v>126</v>
      </c>
      <c r="S59" s="52" t="s">
        <v>127</v>
      </c>
      <c r="T59" s="52" t="s">
        <v>128</v>
      </c>
      <c r="V59" s="50"/>
      <c r="W59" s="56"/>
      <c r="X59" s="52" t="s">
        <v>130</v>
      </c>
      <c r="Y59" s="52" t="s">
        <v>131</v>
      </c>
      <c r="Z59" s="52" t="s">
        <v>124</v>
      </c>
      <c r="AA59" s="52" t="s">
        <v>125</v>
      </c>
      <c r="AB59" s="52" t="s">
        <v>126</v>
      </c>
      <c r="AC59" s="52" t="s">
        <v>127</v>
      </c>
      <c r="AD59" s="52" t="s">
        <v>128</v>
      </c>
      <c r="AF59" s="50"/>
      <c r="AG59" s="56"/>
      <c r="AH59" s="52" t="s">
        <v>130</v>
      </c>
      <c r="AI59" s="52" t="s">
        <v>131</v>
      </c>
      <c r="AJ59" s="52" t="s">
        <v>124</v>
      </c>
      <c r="AK59" s="52" t="s">
        <v>125</v>
      </c>
      <c r="AL59" s="52" t="s">
        <v>126</v>
      </c>
      <c r="AM59" s="52" t="s">
        <v>127</v>
      </c>
      <c r="AN59" s="52" t="s">
        <v>128</v>
      </c>
    </row>
    <row r="60" spans="2:40" x14ac:dyDescent="0.3">
      <c r="B60" s="50"/>
      <c r="C60" s="56"/>
      <c r="D60" s="55">
        <f>(C58*1000)/(SQRT(3)*$C$3)</f>
        <v>1129.5983527623114</v>
      </c>
      <c r="E60" s="55">
        <f>1.25*D60</f>
        <v>1411.9979409528892</v>
      </c>
      <c r="F60" s="56">
        <f>_xlfn.XLOOKUP(E60,'LOOKUP VALUES'!$A$2:$A$30,'LOOKUP VALUES'!$B$2:$B$30,,1,1)</f>
        <v>1600</v>
      </c>
      <c r="G60" s="56" t="str">
        <f>IF(C58&gt;1000,"ACB","MCCB")</f>
        <v>MCCB</v>
      </c>
      <c r="H60" s="57">
        <f>_xlfn.XLOOKUP(C58,'LOOKUP VALUES'!$D$1:$D$8,'LOOKUP VALUES'!$E$1:$E$8,,1,1)</f>
        <v>0.05</v>
      </c>
      <c r="I60" s="56">
        <f>(D60)/H60</f>
        <v>22591.967055246227</v>
      </c>
      <c r="J60" s="56" t="str">
        <f>_xlfn.XLOOKUP(I60,'LOOKUP VALUES'!$H$2:$H$14,'LOOKUP VALUES'!$I$2:$I$14,,1,1)</f>
        <v>25-35</v>
      </c>
      <c r="L60" s="50"/>
      <c r="M60" s="56"/>
      <c r="N60" s="55">
        <f>(M58*1000)/(SQRT(3)*$C$3)</f>
        <v>753.06556850820755</v>
      </c>
      <c r="O60" s="55">
        <f>1.25*N60</f>
        <v>941.33196063525941</v>
      </c>
      <c r="P60" s="56">
        <f>_xlfn.XLOOKUP(O60,'LOOKUP VALUES'!$A$2:$A$30,'LOOKUP VALUES'!$B$2:$B$30,,1,1)</f>
        <v>1000</v>
      </c>
      <c r="Q60" s="56" t="str">
        <f>IF(M58&gt;1000,"ACB","MCCB")</f>
        <v>MCCB</v>
      </c>
      <c r="R60" s="57">
        <f>_xlfn.XLOOKUP(M58,'LOOKUP VALUES'!$D$1:$D$8,'LOOKUP VALUES'!$E$1:$E$8,,1,1)</f>
        <v>0.04</v>
      </c>
      <c r="S60" s="56">
        <f>(N60)/R60</f>
        <v>18826.639212705188</v>
      </c>
      <c r="T60" s="56" t="str">
        <f>_xlfn.XLOOKUP(S60,'LOOKUP VALUES'!$H$2:$H$14,'LOOKUP VALUES'!$I$2:$I$14,,1,1)</f>
        <v>25-35</v>
      </c>
      <c r="V60" s="50"/>
      <c r="W60" s="56"/>
      <c r="X60" s="55">
        <f>(W58*1000)/(SQRT(3)*$C$3)</f>
        <v>564.79917638115569</v>
      </c>
      <c r="Y60" s="55">
        <f>1.25*X60</f>
        <v>705.99897047644458</v>
      </c>
      <c r="Z60" s="56">
        <f>_xlfn.XLOOKUP(Y60,'LOOKUP VALUES'!$A$2:$A$30,'LOOKUP VALUES'!$B$2:$B$30,,1,1)</f>
        <v>800</v>
      </c>
      <c r="AA60" s="56" t="str">
        <f>IF(W58&gt;1000,"ACB","MCCB")</f>
        <v>MCCB</v>
      </c>
      <c r="AB60" s="57">
        <f>_xlfn.XLOOKUP(W58,'LOOKUP VALUES'!$D$1:$D$8,'LOOKUP VALUES'!$E$1:$E$8,,1,1)</f>
        <v>0.04</v>
      </c>
      <c r="AC60" s="56">
        <f>(X60)/AB60</f>
        <v>14119.979409528893</v>
      </c>
      <c r="AD60" s="56" t="str">
        <f>_xlfn.XLOOKUP(AC60,'LOOKUP VALUES'!$H$2:$H$14,'LOOKUP VALUES'!$I$2:$I$14,,1,1)</f>
        <v>25-35</v>
      </c>
      <c r="AF60" s="50"/>
      <c r="AG60" s="56"/>
      <c r="AH60" s="55">
        <f>(AG58*1000)/(SQRT(3)*$C$3)</f>
        <v>282.39958819057784</v>
      </c>
      <c r="AI60" s="55">
        <f>1.25*AH60</f>
        <v>352.99948523822229</v>
      </c>
      <c r="AJ60" s="56">
        <f>_xlfn.XLOOKUP(AI60,'LOOKUP VALUES'!$A$2:$A$30,'LOOKUP VALUES'!$B$2:$B$30,,1,1)</f>
        <v>400</v>
      </c>
      <c r="AK60" s="56" t="str">
        <f>IF(AG58&gt;1000,"ACB","MCCB")</f>
        <v>MCCB</v>
      </c>
      <c r="AL60" s="57">
        <f>_xlfn.XLOOKUP(AG58,'LOOKUP VALUES'!$D$1:$D$8,'LOOKUP VALUES'!$E$1:$E$8,,1,1)</f>
        <v>0.04</v>
      </c>
      <c r="AM60" s="56">
        <f>(AH60)/AL60</f>
        <v>7059.9897047644463</v>
      </c>
      <c r="AN60" s="56">
        <f>_xlfn.XLOOKUP(AM60,'LOOKUP VALUES'!$H$2:$H$14,'LOOKUP VALUES'!$I$2:$I$14,,1,1)</f>
        <v>10</v>
      </c>
    </row>
    <row r="61" spans="2:40" x14ac:dyDescent="0.3">
      <c r="B61" s="50"/>
      <c r="C61" s="50"/>
      <c r="D61" s="50"/>
      <c r="E61" s="50"/>
      <c r="F61" s="50"/>
      <c r="G61" s="50"/>
      <c r="H61" s="50"/>
      <c r="I61" s="50"/>
      <c r="J61" s="50"/>
      <c r="L61" s="50"/>
      <c r="M61" s="50"/>
      <c r="N61" s="50"/>
      <c r="O61" s="50"/>
      <c r="P61" s="50"/>
      <c r="Q61" s="50"/>
      <c r="R61" s="50"/>
      <c r="S61" s="50"/>
      <c r="T61" s="50"/>
      <c r="V61" s="50"/>
      <c r="W61" s="50"/>
      <c r="X61" s="50"/>
      <c r="Y61" s="50"/>
      <c r="Z61" s="50"/>
      <c r="AA61" s="50"/>
      <c r="AB61" s="50"/>
      <c r="AC61" s="50"/>
      <c r="AD61" s="50"/>
      <c r="AF61" s="50"/>
      <c r="AG61" s="50"/>
      <c r="AH61" s="50"/>
      <c r="AI61" s="50"/>
      <c r="AJ61" s="50"/>
      <c r="AK61" s="50"/>
      <c r="AL61" s="50"/>
      <c r="AM61" s="50"/>
      <c r="AN61" s="50"/>
    </row>
    <row r="62" spans="2:40" ht="15.6" x14ac:dyDescent="0.35">
      <c r="B62" s="51"/>
      <c r="C62" s="52" t="s">
        <v>77</v>
      </c>
      <c r="D62" s="52" t="s">
        <v>122</v>
      </c>
      <c r="E62" s="52" t="s">
        <v>123</v>
      </c>
      <c r="F62" s="52" t="s">
        <v>124</v>
      </c>
      <c r="G62" s="52" t="s">
        <v>125</v>
      </c>
      <c r="H62" s="52" t="s">
        <v>126</v>
      </c>
      <c r="I62" s="52" t="s">
        <v>127</v>
      </c>
      <c r="J62" s="52" t="s">
        <v>128</v>
      </c>
      <c r="L62" s="51"/>
      <c r="M62" s="52" t="s">
        <v>77</v>
      </c>
      <c r="N62" s="52" t="s">
        <v>122</v>
      </c>
      <c r="O62" s="52" t="s">
        <v>123</v>
      </c>
      <c r="P62" s="52" t="s">
        <v>124</v>
      </c>
      <c r="Q62" s="52" t="s">
        <v>125</v>
      </c>
      <c r="R62" s="52" t="s">
        <v>126</v>
      </c>
      <c r="S62" s="52" t="s">
        <v>127</v>
      </c>
      <c r="T62" s="52" t="s">
        <v>128</v>
      </c>
      <c r="V62" s="51"/>
      <c r="W62" s="52" t="s">
        <v>77</v>
      </c>
      <c r="X62" s="52" t="s">
        <v>122</v>
      </c>
      <c r="Y62" s="52" t="s">
        <v>123</v>
      </c>
      <c r="Z62" s="52" t="s">
        <v>124</v>
      </c>
      <c r="AA62" s="52" t="s">
        <v>125</v>
      </c>
      <c r="AB62" s="52" t="s">
        <v>126</v>
      </c>
      <c r="AC62" s="52" t="s">
        <v>127</v>
      </c>
      <c r="AD62" s="52" t="s">
        <v>128</v>
      </c>
      <c r="AF62" s="51"/>
      <c r="AG62" s="52" t="s">
        <v>77</v>
      </c>
      <c r="AH62" s="52" t="s">
        <v>122</v>
      </c>
      <c r="AI62" s="52" t="s">
        <v>123</v>
      </c>
      <c r="AJ62" s="52" t="s">
        <v>124</v>
      </c>
      <c r="AK62" s="52" t="s">
        <v>125</v>
      </c>
      <c r="AL62" s="52" t="s">
        <v>126</v>
      </c>
      <c r="AM62" s="52" t="s">
        <v>127</v>
      </c>
      <c r="AN62" s="52" t="s">
        <v>128</v>
      </c>
    </row>
    <row r="63" spans="2:40" ht="15.6" x14ac:dyDescent="0.35">
      <c r="B63" s="53" t="s">
        <v>142</v>
      </c>
      <c r="C63" s="54">
        <f>'STUDY AREA 1'!Y94</f>
        <v>500</v>
      </c>
      <c r="D63" s="55">
        <f>(C63*1000)/(SQRT(3)*$C$2)</f>
        <v>627.55464042350627</v>
      </c>
      <c r="E63" s="55">
        <f>1.25*D63</f>
        <v>784.4433005293829</v>
      </c>
      <c r="F63" s="56">
        <f>_xlfn.XLOOKUP(E63,'LOOKUP VALUES'!$A$2:$A$30,'LOOKUP VALUES'!$B$2:$B$30,,1,1)</f>
        <v>800</v>
      </c>
      <c r="G63" s="56" t="str">
        <f>IF(C63&gt;1000,"ACB","MCCB")</f>
        <v>MCCB</v>
      </c>
      <c r="H63" s="57">
        <f>_xlfn.XLOOKUP(C63,'LOOKUP VALUES'!$D$1:$D$8,'LOOKUP VALUES'!$E$1:$E$8,,1,1)</f>
        <v>0.05</v>
      </c>
      <c r="I63" s="56">
        <f>(D63)/H63</f>
        <v>12551.092808470125</v>
      </c>
      <c r="J63" s="56" t="str">
        <f>_xlfn.XLOOKUP(I63,'LOOKUP VALUES'!$H$2:$H$14,'LOOKUP VALUES'!$I$2:$I$14,,1,1)</f>
        <v>25-35</v>
      </c>
      <c r="L63" s="53" t="s">
        <v>142</v>
      </c>
      <c r="M63" s="54">
        <f>'STUDY AREA 2'!Y92</f>
        <v>800</v>
      </c>
      <c r="N63" s="55">
        <f>(M63*1000)/(SQRT(3)*$C$2)</f>
        <v>1004.0874246776101</v>
      </c>
      <c r="O63" s="55">
        <f>1.25*N63</f>
        <v>1255.1092808470125</v>
      </c>
      <c r="P63" s="56">
        <f>_xlfn.XLOOKUP(O63,'LOOKUP VALUES'!$A$2:$A$30,'LOOKUP VALUES'!$B$2:$B$30,,1,1)</f>
        <v>1600</v>
      </c>
      <c r="Q63" s="56" t="str">
        <f>IF(M63&gt;1000,"ACB","MCCB")</f>
        <v>MCCB</v>
      </c>
      <c r="R63" s="57">
        <f>_xlfn.XLOOKUP(M63,'LOOKUP VALUES'!$D$1:$D$8,'LOOKUP VALUES'!$E$1:$E$8,,1,1)</f>
        <v>0.06</v>
      </c>
      <c r="S63" s="56">
        <f>(N63)/R63</f>
        <v>16734.790411293503</v>
      </c>
      <c r="T63" s="56" t="str">
        <f>_xlfn.XLOOKUP(S63,'LOOKUP VALUES'!$H$2:$H$14,'LOOKUP VALUES'!$I$2:$I$14,,1,1)</f>
        <v>25-35</v>
      </c>
      <c r="V63" s="53" t="s">
        <v>142</v>
      </c>
      <c r="W63" s="54">
        <f>'STUDY AREA 3'!Y93</f>
        <v>300</v>
      </c>
      <c r="X63" s="55">
        <f>(W63*1000)/(SQRT(3)*$C$2)</f>
        <v>376.53278425410377</v>
      </c>
      <c r="Y63" s="55">
        <f>1.25*X63</f>
        <v>470.6659803176297</v>
      </c>
      <c r="Z63" s="56">
        <f>_xlfn.XLOOKUP(Y63,'LOOKUP VALUES'!$A$2:$A$30,'LOOKUP VALUES'!$B$2:$B$30,,1,1)</f>
        <v>500</v>
      </c>
      <c r="AA63" s="56" t="str">
        <f>IF(W63&gt;1000,"ACB","MCCB")</f>
        <v>MCCB</v>
      </c>
      <c r="AB63" s="57">
        <f>_xlfn.XLOOKUP(W63,'LOOKUP VALUES'!$D$1:$D$8,'LOOKUP VALUES'!$E$1:$E$8,,1,1)</f>
        <v>0.04</v>
      </c>
      <c r="AC63" s="56">
        <f>(X63)/AB63</f>
        <v>9413.3196063525938</v>
      </c>
      <c r="AD63" s="56" t="str">
        <f>_xlfn.XLOOKUP(AC63,'LOOKUP VALUES'!$H$2:$H$14,'LOOKUP VALUES'!$I$2:$I$14,,1,1)</f>
        <v>15-18</v>
      </c>
      <c r="AF63" s="53" t="s">
        <v>142</v>
      </c>
      <c r="AG63" s="54">
        <f>'STUDY AREA 4'!Y94</f>
        <v>112.5</v>
      </c>
      <c r="AH63" s="55">
        <f>(AG63*1000)/(SQRT(3)*$C$2)</f>
        <v>141.19979409528892</v>
      </c>
      <c r="AI63" s="55">
        <f>1.25*AH63</f>
        <v>176.49974261911115</v>
      </c>
      <c r="AJ63" s="56">
        <f>_xlfn.XLOOKUP(AI63,'LOOKUP VALUES'!$A$2:$A$30,'LOOKUP VALUES'!$B$2:$B$30,,1,1)</f>
        <v>200</v>
      </c>
      <c r="AK63" s="56" t="str">
        <f>IF(AG63&gt;1000,"ACB","MCCB")</f>
        <v>MCCB</v>
      </c>
      <c r="AL63" s="57">
        <f>_xlfn.XLOOKUP(AG63,'LOOKUP VALUES'!$D$1:$D$8,'LOOKUP VALUES'!$E$1:$E$8,,1,1)</f>
        <v>0.04</v>
      </c>
      <c r="AM63" s="56">
        <f>(AH63)/AL63</f>
        <v>3529.9948523822231</v>
      </c>
      <c r="AN63" s="56" t="str">
        <f>_xlfn.XLOOKUP(AM63,'LOOKUP VALUES'!$H$2:$H$14,'LOOKUP VALUES'!$I$2:$I$14,,1,1)</f>
        <v>6-10</v>
      </c>
    </row>
    <row r="64" spans="2:40" ht="15.6" x14ac:dyDescent="0.35">
      <c r="B64" s="50"/>
      <c r="C64" s="56"/>
      <c r="D64" s="52" t="s">
        <v>130</v>
      </c>
      <c r="E64" s="52" t="s">
        <v>131</v>
      </c>
      <c r="F64" s="52" t="s">
        <v>124</v>
      </c>
      <c r="G64" s="52" t="s">
        <v>125</v>
      </c>
      <c r="H64" s="52" t="s">
        <v>126</v>
      </c>
      <c r="I64" s="52" t="s">
        <v>127</v>
      </c>
      <c r="J64" s="52" t="s">
        <v>128</v>
      </c>
      <c r="L64" s="50"/>
      <c r="M64" s="56"/>
      <c r="N64" s="52" t="s">
        <v>130</v>
      </c>
      <c r="O64" s="52" t="s">
        <v>131</v>
      </c>
      <c r="P64" s="52" t="s">
        <v>124</v>
      </c>
      <c r="Q64" s="52" t="s">
        <v>125</v>
      </c>
      <c r="R64" s="52" t="s">
        <v>126</v>
      </c>
      <c r="S64" s="52" t="s">
        <v>127</v>
      </c>
      <c r="T64" s="52" t="s">
        <v>128</v>
      </c>
      <c r="V64" s="50"/>
      <c r="W64" s="56"/>
      <c r="X64" s="52" t="s">
        <v>130</v>
      </c>
      <c r="Y64" s="52" t="s">
        <v>131</v>
      </c>
      <c r="Z64" s="52" t="s">
        <v>124</v>
      </c>
      <c r="AA64" s="52" t="s">
        <v>125</v>
      </c>
      <c r="AB64" s="52" t="s">
        <v>126</v>
      </c>
      <c r="AC64" s="52" t="s">
        <v>127</v>
      </c>
      <c r="AD64" s="52" t="s">
        <v>128</v>
      </c>
      <c r="AF64" s="50"/>
      <c r="AG64" s="56"/>
      <c r="AH64" s="52" t="s">
        <v>130</v>
      </c>
      <c r="AI64" s="52" t="s">
        <v>131</v>
      </c>
      <c r="AJ64" s="52" t="s">
        <v>124</v>
      </c>
      <c r="AK64" s="52" t="s">
        <v>125</v>
      </c>
      <c r="AL64" s="52" t="s">
        <v>126</v>
      </c>
      <c r="AM64" s="52" t="s">
        <v>127</v>
      </c>
      <c r="AN64" s="52" t="s">
        <v>128</v>
      </c>
    </row>
    <row r="65" spans="2:40" x14ac:dyDescent="0.3">
      <c r="B65" s="50"/>
      <c r="C65" s="56"/>
      <c r="D65" s="55">
        <f>(C63*1000)/(SQRT(3)*$C$3)</f>
        <v>1255.1092808470125</v>
      </c>
      <c r="E65" s="55">
        <f>1.25*D65</f>
        <v>1568.8866010587658</v>
      </c>
      <c r="F65" s="56">
        <f>_xlfn.XLOOKUP(E65,'LOOKUP VALUES'!$A$2:$A$30,'LOOKUP VALUES'!$B$2:$B$30,,1,1)</f>
        <v>1600</v>
      </c>
      <c r="G65" s="56" t="str">
        <f>IF(C63&gt;1000,"ACB","MCCB")</f>
        <v>MCCB</v>
      </c>
      <c r="H65" s="57">
        <f>_xlfn.XLOOKUP(C63,'LOOKUP VALUES'!$D$1:$D$8,'LOOKUP VALUES'!$E$1:$E$8,,1,1)</f>
        <v>0.05</v>
      </c>
      <c r="I65" s="56">
        <f>(D65)/H65</f>
        <v>25102.185616940249</v>
      </c>
      <c r="J65" s="56" t="str">
        <f>_xlfn.XLOOKUP(I65,'LOOKUP VALUES'!$H$2:$H$14,'LOOKUP VALUES'!$I$2:$I$14,,1,1)</f>
        <v>60</v>
      </c>
      <c r="L65" s="50"/>
      <c r="M65" s="56"/>
      <c r="N65" s="55">
        <f>(M63*1000)/(SQRT(3)*$C$3)</f>
        <v>2008.1748493552202</v>
      </c>
      <c r="O65" s="55">
        <f>1.25*N65</f>
        <v>2510.2185616940251</v>
      </c>
      <c r="P65" s="56">
        <f>_xlfn.XLOOKUP(O65,'LOOKUP VALUES'!$A$2:$A$30,'LOOKUP VALUES'!$B$2:$B$30,,1,1)</f>
        <v>3000</v>
      </c>
      <c r="Q65" s="56" t="str">
        <f>IF(M63&gt;1000,"ACB","MCCB")</f>
        <v>MCCB</v>
      </c>
      <c r="R65" s="57">
        <f>_xlfn.XLOOKUP(M63,'LOOKUP VALUES'!$D$1:$D$8,'LOOKUP VALUES'!$E$1:$E$8,,1,1)</f>
        <v>0.06</v>
      </c>
      <c r="S65" s="56">
        <f>(N65)/R65</f>
        <v>33469.580822587006</v>
      </c>
      <c r="T65" s="56" t="str">
        <f>_xlfn.XLOOKUP(S65,'LOOKUP VALUES'!$H$2:$H$14,'LOOKUP VALUES'!$I$2:$I$14,,1,1)</f>
        <v>60</v>
      </c>
      <c r="V65" s="50"/>
      <c r="W65" s="56"/>
      <c r="X65" s="55">
        <f>(W63*1000)/(SQRT(3)*$C$3)</f>
        <v>753.06556850820755</v>
      </c>
      <c r="Y65" s="55">
        <f>1.25*X65</f>
        <v>941.33196063525941</v>
      </c>
      <c r="Z65" s="56">
        <f>_xlfn.XLOOKUP(Y65,'LOOKUP VALUES'!$A$2:$A$30,'LOOKUP VALUES'!$B$2:$B$30,,1,1)</f>
        <v>1000</v>
      </c>
      <c r="AA65" s="56" t="str">
        <f>IF(W63&gt;1000,"ACB","MCCB")</f>
        <v>MCCB</v>
      </c>
      <c r="AB65" s="57">
        <f>_xlfn.XLOOKUP(W63,'LOOKUP VALUES'!$D$1:$D$8,'LOOKUP VALUES'!$E$1:$E$8,,1,1)</f>
        <v>0.04</v>
      </c>
      <c r="AC65" s="56">
        <f>(X65)/AB65</f>
        <v>18826.639212705188</v>
      </c>
      <c r="AD65" s="56" t="str">
        <f>_xlfn.XLOOKUP(AC65,'LOOKUP VALUES'!$H$2:$H$14,'LOOKUP VALUES'!$I$2:$I$14,,1,1)</f>
        <v>25-35</v>
      </c>
      <c r="AF65" s="50"/>
      <c r="AG65" s="56"/>
      <c r="AH65" s="55">
        <f>(AG63*1000)/(SQRT(3)*$C$3)</f>
        <v>282.39958819057784</v>
      </c>
      <c r="AI65" s="55">
        <f>1.25*AH65</f>
        <v>352.99948523822229</v>
      </c>
      <c r="AJ65" s="56">
        <f>_xlfn.XLOOKUP(AI65,'LOOKUP VALUES'!$A$2:$A$30,'LOOKUP VALUES'!$B$2:$B$30,,1,1)</f>
        <v>400</v>
      </c>
      <c r="AK65" s="56" t="str">
        <f>IF(AG63&gt;1000,"ACB","MCCB")</f>
        <v>MCCB</v>
      </c>
      <c r="AL65" s="57">
        <f>_xlfn.XLOOKUP(AG63,'LOOKUP VALUES'!$D$1:$D$8,'LOOKUP VALUES'!$E$1:$E$8,,1,1)</f>
        <v>0.04</v>
      </c>
      <c r="AM65" s="56">
        <f>(AH65)/AL65</f>
        <v>7059.9897047644463</v>
      </c>
      <c r="AN65" s="56">
        <f>_xlfn.XLOOKUP(AM65,'LOOKUP VALUES'!$H$2:$H$14,'LOOKUP VALUES'!$I$2:$I$14,,1,1)</f>
        <v>10</v>
      </c>
    </row>
    <row r="66" spans="2:40" x14ac:dyDescent="0.3">
      <c r="B66" s="50"/>
      <c r="C66" s="56"/>
      <c r="D66" s="55"/>
      <c r="E66" s="55"/>
      <c r="F66" s="56"/>
      <c r="G66" s="50"/>
      <c r="H66" s="50"/>
      <c r="I66" s="56"/>
      <c r="J66" s="56"/>
      <c r="L66" s="50"/>
      <c r="M66" s="56"/>
      <c r="N66" s="55"/>
      <c r="O66" s="55"/>
      <c r="P66" s="56"/>
      <c r="Q66" s="50"/>
      <c r="R66" s="50"/>
      <c r="S66" s="56"/>
      <c r="T66" s="56"/>
      <c r="V66" s="50"/>
      <c r="W66" s="56"/>
      <c r="X66" s="55"/>
      <c r="Y66" s="55"/>
      <c r="Z66" s="56"/>
      <c r="AA66" s="50"/>
      <c r="AB66" s="50"/>
      <c r="AC66" s="56"/>
      <c r="AD66" s="56"/>
      <c r="AF66" s="50"/>
      <c r="AG66" s="56"/>
      <c r="AH66" s="55"/>
      <c r="AI66" s="55"/>
      <c r="AJ66" s="56"/>
      <c r="AK66" s="50"/>
      <c r="AL66" s="50"/>
      <c r="AM66" s="56"/>
      <c r="AN66" s="56"/>
    </row>
    <row r="67" spans="2:40" ht="15.6" x14ac:dyDescent="0.35">
      <c r="B67" s="51"/>
      <c r="C67" s="52" t="s">
        <v>77</v>
      </c>
      <c r="D67" s="52" t="s">
        <v>122</v>
      </c>
      <c r="E67" s="52" t="s">
        <v>123</v>
      </c>
      <c r="F67" s="52" t="s">
        <v>124</v>
      </c>
      <c r="G67" s="52" t="s">
        <v>125</v>
      </c>
      <c r="H67" s="52" t="s">
        <v>126</v>
      </c>
      <c r="I67" s="52" t="s">
        <v>127</v>
      </c>
      <c r="J67" s="52" t="s">
        <v>128</v>
      </c>
      <c r="L67" s="51"/>
      <c r="M67" s="52" t="s">
        <v>77</v>
      </c>
      <c r="N67" s="52" t="s">
        <v>122</v>
      </c>
      <c r="O67" s="52" t="s">
        <v>123</v>
      </c>
      <c r="P67" s="52" t="s">
        <v>124</v>
      </c>
      <c r="Q67" s="52" t="s">
        <v>125</v>
      </c>
      <c r="R67" s="52" t="s">
        <v>126</v>
      </c>
      <c r="S67" s="52" t="s">
        <v>127</v>
      </c>
      <c r="T67" s="52" t="s">
        <v>128</v>
      </c>
      <c r="V67" s="51"/>
      <c r="W67" s="52" t="s">
        <v>77</v>
      </c>
      <c r="X67" s="52" t="s">
        <v>122</v>
      </c>
      <c r="Y67" s="52" t="s">
        <v>123</v>
      </c>
      <c r="Z67" s="52" t="s">
        <v>124</v>
      </c>
      <c r="AA67" s="52" t="s">
        <v>125</v>
      </c>
      <c r="AB67" s="52" t="s">
        <v>126</v>
      </c>
      <c r="AC67" s="52" t="s">
        <v>127</v>
      </c>
      <c r="AD67" s="52" t="s">
        <v>128</v>
      </c>
      <c r="AF67" s="51"/>
      <c r="AG67" s="52" t="s">
        <v>77</v>
      </c>
      <c r="AH67" s="52" t="s">
        <v>122</v>
      </c>
      <c r="AI67" s="52" t="s">
        <v>123</v>
      </c>
      <c r="AJ67" s="52" t="s">
        <v>124</v>
      </c>
      <c r="AK67" s="52" t="s">
        <v>125</v>
      </c>
      <c r="AL67" s="52" t="s">
        <v>126</v>
      </c>
      <c r="AM67" s="52" t="s">
        <v>127</v>
      </c>
      <c r="AN67" s="52" t="s">
        <v>128</v>
      </c>
    </row>
    <row r="68" spans="2:40" ht="15.6" x14ac:dyDescent="0.35">
      <c r="B68" s="53" t="s">
        <v>143</v>
      </c>
      <c r="C68" s="54">
        <f>'STUDY AREA 1'!Y102</f>
        <v>150</v>
      </c>
      <c r="D68" s="55">
        <f>(C68*1000)/(SQRT(3)*$C$2)</f>
        <v>188.26639212705189</v>
      </c>
      <c r="E68" s="55">
        <f>1.25*D68</f>
        <v>235.33299015881485</v>
      </c>
      <c r="F68" s="56">
        <f>_xlfn.XLOOKUP(E68,'LOOKUP VALUES'!$A$2:$A$30,'LOOKUP VALUES'!$B$2:$B$30,,1,1)</f>
        <v>250</v>
      </c>
      <c r="G68" s="56" t="str">
        <f>IF(C68&gt;1000,"ACB","MCCB")</f>
        <v>MCCB</v>
      </c>
      <c r="H68" s="57">
        <f>_xlfn.XLOOKUP(C68,'LOOKUP VALUES'!$D$1:$D$8,'LOOKUP VALUES'!$E$1:$E$8,,1,1)</f>
        <v>0.04</v>
      </c>
      <c r="I68" s="56">
        <f>(D68)/H68</f>
        <v>4706.6598031762969</v>
      </c>
      <c r="J68" s="56">
        <f>_xlfn.XLOOKUP(I68,'LOOKUP VALUES'!$H$2:$H$14,'LOOKUP VALUES'!$I$2:$I$14,,1,1)</f>
        <v>10</v>
      </c>
      <c r="L68" s="53" t="s">
        <v>143</v>
      </c>
      <c r="M68" s="54">
        <f>'STUDY AREA 2'!Y100</f>
        <v>450</v>
      </c>
      <c r="N68" s="55">
        <f>(M68*1000)/(SQRT(3)*$C$2)</f>
        <v>564.79917638115569</v>
      </c>
      <c r="O68" s="55">
        <f>1.25*N68</f>
        <v>705.99897047644458</v>
      </c>
      <c r="P68" s="56">
        <f>_xlfn.XLOOKUP(O68,'LOOKUP VALUES'!$A$2:$A$30,'LOOKUP VALUES'!$B$2:$B$30,,1,1)</f>
        <v>800</v>
      </c>
      <c r="Q68" s="56" t="str">
        <f>IF(M68&gt;1000,"ACB","MCCB")</f>
        <v>MCCB</v>
      </c>
      <c r="R68" s="57">
        <f>_xlfn.XLOOKUP(M68,'LOOKUP VALUES'!$D$1:$D$8,'LOOKUP VALUES'!$E$1:$E$8,,1,1)</f>
        <v>0.05</v>
      </c>
      <c r="S68" s="56">
        <f>(N68)/R68</f>
        <v>11295.983527623113</v>
      </c>
      <c r="T68" s="56" t="str">
        <f>_xlfn.XLOOKUP(S68,'LOOKUP VALUES'!$H$2:$H$14,'LOOKUP VALUES'!$I$2:$I$14,,1,1)</f>
        <v>15-18</v>
      </c>
      <c r="V68" s="53" t="s">
        <v>143</v>
      </c>
      <c r="W68" s="54">
        <f>'STUDY AREA 3'!Y102</f>
        <v>300</v>
      </c>
      <c r="X68" s="55">
        <f>(W68*1000)/(SQRT(3)*$C$2)</f>
        <v>376.53278425410377</v>
      </c>
      <c r="Y68" s="55">
        <f>1.25*X68</f>
        <v>470.6659803176297</v>
      </c>
      <c r="Z68" s="56">
        <f>_xlfn.XLOOKUP(Y68,'LOOKUP VALUES'!$A$2:$A$30,'LOOKUP VALUES'!$B$2:$B$30,,1,1)</f>
        <v>500</v>
      </c>
      <c r="AA68" s="56" t="str">
        <f>IF(W68&gt;1000,"ACB","MCCB")</f>
        <v>MCCB</v>
      </c>
      <c r="AB68" s="57">
        <f>_xlfn.XLOOKUP(W68,'LOOKUP VALUES'!$D$1:$D$8,'LOOKUP VALUES'!$E$1:$E$8,,1,1)</f>
        <v>0.04</v>
      </c>
      <c r="AC68" s="56">
        <f>(X68)/AB68</f>
        <v>9413.3196063525938</v>
      </c>
      <c r="AD68" s="56" t="str">
        <f>_xlfn.XLOOKUP(AC68,'LOOKUP VALUES'!$H$2:$H$14,'LOOKUP VALUES'!$I$2:$I$14,,1,1)</f>
        <v>15-18</v>
      </c>
      <c r="AF68" s="53" t="s">
        <v>143</v>
      </c>
      <c r="AG68" s="54">
        <f>'STUDY AREA 4'!Y102</f>
        <v>600</v>
      </c>
      <c r="AH68" s="55">
        <f>(AG68*1000)/(SQRT(3)*$C$2)</f>
        <v>753.06556850820755</v>
      </c>
      <c r="AI68" s="55">
        <f>1.25*AH68</f>
        <v>941.33196063525941</v>
      </c>
      <c r="AJ68" s="56">
        <f>_xlfn.XLOOKUP(AI68,'LOOKUP VALUES'!$A$2:$A$30,'LOOKUP VALUES'!$B$2:$B$30,,1,1)</f>
        <v>1000</v>
      </c>
      <c r="AK68" s="56" t="str">
        <f>IF(AG68&gt;1000,"ACB","MCCB")</f>
        <v>MCCB</v>
      </c>
      <c r="AL68" s="57">
        <f>_xlfn.XLOOKUP(AG68,'LOOKUP VALUES'!$D$1:$D$8,'LOOKUP VALUES'!$E$1:$E$8,,1,1)</f>
        <v>0.05</v>
      </c>
      <c r="AM68" s="56">
        <f>(AH68)/AL68</f>
        <v>15061.311370164151</v>
      </c>
      <c r="AN68" s="56" t="str">
        <f>_xlfn.XLOOKUP(AM68,'LOOKUP VALUES'!$H$2:$H$14,'LOOKUP VALUES'!$I$2:$I$14,,1,1)</f>
        <v>25-35</v>
      </c>
    </row>
    <row r="69" spans="2:40" ht="15.6" x14ac:dyDescent="0.35">
      <c r="B69" s="50"/>
      <c r="C69" s="56"/>
      <c r="D69" s="52" t="s">
        <v>130</v>
      </c>
      <c r="E69" s="52" t="s">
        <v>131</v>
      </c>
      <c r="F69" s="52" t="s">
        <v>124</v>
      </c>
      <c r="G69" s="52" t="s">
        <v>125</v>
      </c>
      <c r="H69" s="52" t="s">
        <v>126</v>
      </c>
      <c r="I69" s="52" t="s">
        <v>127</v>
      </c>
      <c r="J69" s="52" t="s">
        <v>128</v>
      </c>
      <c r="L69" s="50"/>
      <c r="M69" s="56"/>
      <c r="N69" s="52" t="s">
        <v>130</v>
      </c>
      <c r="O69" s="52" t="s">
        <v>131</v>
      </c>
      <c r="P69" s="52" t="s">
        <v>124</v>
      </c>
      <c r="Q69" s="52" t="s">
        <v>125</v>
      </c>
      <c r="R69" s="52" t="s">
        <v>126</v>
      </c>
      <c r="S69" s="52" t="s">
        <v>127</v>
      </c>
      <c r="T69" s="52" t="s">
        <v>128</v>
      </c>
      <c r="V69" s="50"/>
      <c r="W69" s="56"/>
      <c r="X69" s="52" t="s">
        <v>130</v>
      </c>
      <c r="Y69" s="52" t="s">
        <v>131</v>
      </c>
      <c r="Z69" s="52" t="s">
        <v>124</v>
      </c>
      <c r="AA69" s="52" t="s">
        <v>125</v>
      </c>
      <c r="AB69" s="52" t="s">
        <v>126</v>
      </c>
      <c r="AC69" s="52" t="s">
        <v>127</v>
      </c>
      <c r="AD69" s="52" t="s">
        <v>128</v>
      </c>
      <c r="AF69" s="50"/>
      <c r="AG69" s="56"/>
      <c r="AH69" s="52" t="s">
        <v>130</v>
      </c>
      <c r="AI69" s="52" t="s">
        <v>131</v>
      </c>
      <c r="AJ69" s="52" t="s">
        <v>124</v>
      </c>
      <c r="AK69" s="52" t="s">
        <v>125</v>
      </c>
      <c r="AL69" s="52" t="s">
        <v>126</v>
      </c>
      <c r="AM69" s="52" t="s">
        <v>127</v>
      </c>
      <c r="AN69" s="52" t="s">
        <v>128</v>
      </c>
    </row>
    <row r="70" spans="2:40" x14ac:dyDescent="0.3">
      <c r="B70" s="50"/>
      <c r="C70" s="56"/>
      <c r="D70" s="55">
        <f>(C68*1000)/(SQRT(3)*$C$3)</f>
        <v>376.53278425410377</v>
      </c>
      <c r="E70" s="55">
        <f>1.25*D70</f>
        <v>470.6659803176297</v>
      </c>
      <c r="F70" s="56">
        <f>_xlfn.XLOOKUP(E70,'LOOKUP VALUES'!$A$2:$A$30,'LOOKUP VALUES'!$B$2:$B$30,,1,1)</f>
        <v>500</v>
      </c>
      <c r="G70" s="56" t="str">
        <f>IF(C68&gt;1000,"ACB","MCCB")</f>
        <v>MCCB</v>
      </c>
      <c r="H70" s="57">
        <f>_xlfn.XLOOKUP(C68,'LOOKUP VALUES'!$D$1:$D$8,'LOOKUP VALUES'!$E$1:$E$8,,1,1)</f>
        <v>0.04</v>
      </c>
      <c r="I70" s="56">
        <f>(D70)/H70</f>
        <v>9413.3196063525938</v>
      </c>
      <c r="J70" s="56" t="str">
        <f>_xlfn.XLOOKUP(I70,'LOOKUP VALUES'!$H$2:$H$14,'LOOKUP VALUES'!$I$2:$I$14,,1,1)</f>
        <v>15-18</v>
      </c>
      <c r="L70" s="50"/>
      <c r="M70" s="56"/>
      <c r="N70" s="55">
        <f>(M68*1000)/(SQRT(3)*$C$3)</f>
        <v>1129.5983527623114</v>
      </c>
      <c r="O70" s="55">
        <f>1.25*N70</f>
        <v>1411.9979409528892</v>
      </c>
      <c r="P70" s="56">
        <f>_xlfn.XLOOKUP(O70,'LOOKUP VALUES'!$A$2:$A$30,'LOOKUP VALUES'!$B$2:$B$30,,1,1)</f>
        <v>1600</v>
      </c>
      <c r="Q70" s="56" t="str">
        <f>IF(M68&gt;1000,"ACB","MCCB")</f>
        <v>MCCB</v>
      </c>
      <c r="R70" s="57">
        <f>_xlfn.XLOOKUP(M68,'LOOKUP VALUES'!$D$1:$D$8,'LOOKUP VALUES'!$E$1:$E$8,,1,1)</f>
        <v>0.05</v>
      </c>
      <c r="S70" s="56">
        <f>(N70)/R70</f>
        <v>22591.967055246227</v>
      </c>
      <c r="T70" s="56" t="str">
        <f>_xlfn.XLOOKUP(S70,'LOOKUP VALUES'!$H$2:$H$14,'LOOKUP VALUES'!$I$2:$I$14,,1,1)</f>
        <v>25-35</v>
      </c>
      <c r="V70" s="50"/>
      <c r="W70" s="56"/>
      <c r="X70" s="55">
        <f>(W68*1000)/(SQRT(3)*$C$3)</f>
        <v>753.06556850820755</v>
      </c>
      <c r="Y70" s="55">
        <f>1.25*X70</f>
        <v>941.33196063525941</v>
      </c>
      <c r="Z70" s="56">
        <f>_xlfn.XLOOKUP(Y70,'LOOKUP VALUES'!$A$2:$A$30,'LOOKUP VALUES'!$B$2:$B$30,,1,1)</f>
        <v>1000</v>
      </c>
      <c r="AA70" s="56" t="str">
        <f>IF(W68&gt;1000,"ACB","MCCB")</f>
        <v>MCCB</v>
      </c>
      <c r="AB70" s="57">
        <f>_xlfn.XLOOKUP(W68,'LOOKUP VALUES'!$D$1:$D$8,'LOOKUP VALUES'!$E$1:$E$8,,1,1)</f>
        <v>0.04</v>
      </c>
      <c r="AC70" s="56">
        <f>(X70)/AB70</f>
        <v>18826.639212705188</v>
      </c>
      <c r="AD70" s="56" t="str">
        <f>_xlfn.XLOOKUP(AC70,'LOOKUP VALUES'!$H$2:$H$14,'LOOKUP VALUES'!$I$2:$I$14,,1,1)</f>
        <v>25-35</v>
      </c>
      <c r="AF70" s="50"/>
      <c r="AG70" s="56"/>
      <c r="AH70" s="55">
        <f>(AG68*1000)/(SQRT(3)*$C$3)</f>
        <v>1506.1311370164151</v>
      </c>
      <c r="AI70" s="55">
        <f>1.25*AH70</f>
        <v>1882.6639212705188</v>
      </c>
      <c r="AJ70" s="56">
        <f>_xlfn.XLOOKUP(AI70,'LOOKUP VALUES'!$A$2:$A$30,'LOOKUP VALUES'!$B$2:$B$30,,1,1)</f>
        <v>2000</v>
      </c>
      <c r="AK70" s="56" t="str">
        <f>IF(AG68&gt;1000,"ACB","MCCB")</f>
        <v>MCCB</v>
      </c>
      <c r="AL70" s="57">
        <f>_xlfn.XLOOKUP(AG68,'LOOKUP VALUES'!$D$1:$D$8,'LOOKUP VALUES'!$E$1:$E$8,,1,1)</f>
        <v>0.05</v>
      </c>
      <c r="AM70" s="56">
        <f>(AH70)/AL70</f>
        <v>30122.622740328301</v>
      </c>
      <c r="AN70" s="56" t="str">
        <f>_xlfn.XLOOKUP(AM70,'LOOKUP VALUES'!$H$2:$H$14,'LOOKUP VALUES'!$I$2:$I$14,,1,1)</f>
        <v>60</v>
      </c>
    </row>
    <row r="71" spans="2:40" x14ac:dyDescent="0.3">
      <c r="B71" s="50"/>
      <c r="C71" s="50"/>
      <c r="D71" s="50"/>
      <c r="E71" s="50"/>
      <c r="F71" s="50"/>
      <c r="G71" s="50"/>
      <c r="H71" s="50"/>
      <c r="I71" s="50"/>
      <c r="J71" s="50"/>
      <c r="L71" s="50"/>
      <c r="M71" s="50"/>
      <c r="N71" s="50"/>
      <c r="O71" s="50"/>
      <c r="P71" s="50"/>
      <c r="Q71" s="50"/>
      <c r="R71" s="50"/>
      <c r="S71" s="50"/>
      <c r="T71" s="50"/>
      <c r="V71" s="50"/>
      <c r="W71" s="50"/>
      <c r="X71" s="50"/>
      <c r="Y71" s="50"/>
      <c r="Z71" s="50"/>
      <c r="AA71" s="50"/>
      <c r="AB71" s="50"/>
      <c r="AC71" s="50"/>
      <c r="AD71" s="50"/>
      <c r="AF71" s="50"/>
      <c r="AG71" s="50"/>
      <c r="AH71" s="50"/>
      <c r="AI71" s="50"/>
      <c r="AJ71" s="50"/>
      <c r="AK71" s="50"/>
      <c r="AL71" s="50"/>
      <c r="AM71" s="50"/>
      <c r="AN71" s="50"/>
    </row>
    <row r="72" spans="2:40" ht="15.6" x14ac:dyDescent="0.35">
      <c r="B72" s="50"/>
      <c r="C72" s="52" t="s">
        <v>77</v>
      </c>
      <c r="D72" s="52" t="s">
        <v>122</v>
      </c>
      <c r="E72" s="52" t="s">
        <v>123</v>
      </c>
      <c r="F72" s="52" t="s">
        <v>124</v>
      </c>
      <c r="G72" s="52" t="s">
        <v>125</v>
      </c>
      <c r="H72" s="52" t="s">
        <v>126</v>
      </c>
      <c r="I72" s="52" t="s">
        <v>127</v>
      </c>
      <c r="J72" s="52" t="s">
        <v>128</v>
      </c>
      <c r="L72" s="50"/>
      <c r="M72" s="52" t="s">
        <v>77</v>
      </c>
      <c r="N72" s="52" t="s">
        <v>122</v>
      </c>
      <c r="O72" s="52" t="s">
        <v>123</v>
      </c>
      <c r="P72" s="52" t="s">
        <v>124</v>
      </c>
      <c r="Q72" s="52" t="s">
        <v>125</v>
      </c>
      <c r="R72" s="52" t="s">
        <v>126</v>
      </c>
      <c r="S72" s="52" t="s">
        <v>127</v>
      </c>
      <c r="T72" s="52" t="s">
        <v>128</v>
      </c>
      <c r="V72" s="50"/>
      <c r="W72" s="52" t="s">
        <v>77</v>
      </c>
      <c r="X72" s="52" t="s">
        <v>122</v>
      </c>
      <c r="Y72" s="52" t="s">
        <v>123</v>
      </c>
      <c r="Z72" s="52" t="s">
        <v>124</v>
      </c>
      <c r="AA72" s="52" t="s">
        <v>125</v>
      </c>
      <c r="AB72" s="52" t="s">
        <v>126</v>
      </c>
      <c r="AC72" s="52" t="s">
        <v>127</v>
      </c>
      <c r="AD72" s="52" t="s">
        <v>128</v>
      </c>
      <c r="AF72" s="50"/>
      <c r="AG72" s="52" t="s">
        <v>77</v>
      </c>
      <c r="AH72" s="52" t="s">
        <v>122</v>
      </c>
      <c r="AI72" s="52" t="s">
        <v>123</v>
      </c>
      <c r="AJ72" s="52" t="s">
        <v>124</v>
      </c>
      <c r="AK72" s="52" t="s">
        <v>125</v>
      </c>
      <c r="AL72" s="52" t="s">
        <v>126</v>
      </c>
      <c r="AM72" s="52" t="s">
        <v>127</v>
      </c>
      <c r="AN72" s="52" t="s">
        <v>128</v>
      </c>
    </row>
    <row r="73" spans="2:40" ht="15.6" x14ac:dyDescent="0.35">
      <c r="B73" s="53" t="s">
        <v>144</v>
      </c>
      <c r="C73" s="54">
        <f>'STUDY AREA 1'!Y110</f>
        <v>300</v>
      </c>
      <c r="D73" s="55">
        <f>(C73*1000)/(SQRT(3)*$C$2)</f>
        <v>376.53278425410377</v>
      </c>
      <c r="E73" s="55">
        <f>1.25*D73</f>
        <v>470.6659803176297</v>
      </c>
      <c r="F73" s="56">
        <f>_xlfn.XLOOKUP(E73,'LOOKUP VALUES'!$A$2:$A$30,'LOOKUP VALUES'!$B$2:$B$30,,1,1)</f>
        <v>500</v>
      </c>
      <c r="G73" s="56" t="str">
        <f>IF(C73&gt;1000,"ACB","MCCB")</f>
        <v>MCCB</v>
      </c>
      <c r="H73" s="57">
        <f>_xlfn.XLOOKUP(C73,'LOOKUP VALUES'!$D$1:$D$8,'LOOKUP VALUES'!$E$1:$E$8,,1,1)</f>
        <v>0.04</v>
      </c>
      <c r="I73" s="56">
        <f>(D73)/H73</f>
        <v>9413.3196063525938</v>
      </c>
      <c r="J73" s="56" t="str">
        <f>_xlfn.XLOOKUP(I73,'LOOKUP VALUES'!$H$2:$H$14,'LOOKUP VALUES'!$I$2:$I$14,,1,1)</f>
        <v>15-18</v>
      </c>
      <c r="L73" s="53" t="s">
        <v>144</v>
      </c>
      <c r="M73" s="54">
        <f>'STUDY AREA 2'!Y108</f>
        <v>800</v>
      </c>
      <c r="N73" s="55">
        <f>(M73*1000)/(SQRT(3)*$C$2)</f>
        <v>1004.0874246776101</v>
      </c>
      <c r="O73" s="55">
        <f>1.25*N73</f>
        <v>1255.1092808470125</v>
      </c>
      <c r="P73" s="56">
        <f>_xlfn.XLOOKUP(O73,'LOOKUP VALUES'!$A$2:$A$30,'LOOKUP VALUES'!$B$2:$B$30,,1,1)</f>
        <v>1600</v>
      </c>
      <c r="Q73" s="56" t="str">
        <f>IF(M73&gt;1000,"ACB","MCCB")</f>
        <v>MCCB</v>
      </c>
      <c r="R73" s="57">
        <f>_xlfn.XLOOKUP(M73,'LOOKUP VALUES'!$D$1:$D$8,'LOOKUP VALUES'!$E$1:$E$8,,1,1)</f>
        <v>0.06</v>
      </c>
      <c r="S73" s="56">
        <f>(N73)/R73</f>
        <v>16734.790411293503</v>
      </c>
      <c r="T73" s="56" t="str">
        <f>_xlfn.XLOOKUP(S73,'LOOKUP VALUES'!$H$2:$H$14,'LOOKUP VALUES'!$I$2:$I$14,,1,1)</f>
        <v>25-35</v>
      </c>
      <c r="V73" s="53" t="s">
        <v>144</v>
      </c>
      <c r="W73" s="54">
        <f>'STUDY AREA 3'!Y110</f>
        <v>450</v>
      </c>
      <c r="X73" s="55">
        <f>(W73*1000)/(SQRT(3)*$C$2)</f>
        <v>564.79917638115569</v>
      </c>
      <c r="Y73" s="55">
        <f>1.25*X73</f>
        <v>705.99897047644458</v>
      </c>
      <c r="Z73" s="56">
        <f>_xlfn.XLOOKUP(Y73,'LOOKUP VALUES'!$A$2:$A$30,'LOOKUP VALUES'!$B$2:$B$30,,1,1)</f>
        <v>800</v>
      </c>
      <c r="AA73" s="56" t="str">
        <f>IF(W73&gt;1000,"ACB","MCCB")</f>
        <v>MCCB</v>
      </c>
      <c r="AB73" s="57">
        <f>_xlfn.XLOOKUP(W73,'LOOKUP VALUES'!$D$1:$D$8,'LOOKUP VALUES'!$E$1:$E$8,,1,1)</f>
        <v>0.05</v>
      </c>
      <c r="AC73" s="56">
        <f>(X73)/AB73</f>
        <v>11295.983527623113</v>
      </c>
      <c r="AD73" s="56" t="str">
        <f>_xlfn.XLOOKUP(AC73,'LOOKUP VALUES'!$H$2:$H$14,'LOOKUP VALUES'!$I$2:$I$14,,1,1)</f>
        <v>15-18</v>
      </c>
      <c r="AF73" s="53" t="s">
        <v>144</v>
      </c>
      <c r="AG73" s="54">
        <f>'STUDY AREA 4'!Y110</f>
        <v>450</v>
      </c>
      <c r="AH73" s="55">
        <f>(AG73*1000)/(SQRT(3)*$C$2)</f>
        <v>564.79917638115569</v>
      </c>
      <c r="AI73" s="55">
        <f>1.25*AH73</f>
        <v>705.99897047644458</v>
      </c>
      <c r="AJ73" s="56">
        <f>_xlfn.XLOOKUP(AI73,'LOOKUP VALUES'!$A$2:$A$30,'LOOKUP VALUES'!$B$2:$B$30,,1,1)</f>
        <v>800</v>
      </c>
      <c r="AK73" s="56" t="str">
        <f>IF(AG73&gt;1000,"ACB","MCCB")</f>
        <v>MCCB</v>
      </c>
      <c r="AL73" s="57">
        <f>_xlfn.XLOOKUP(AG73,'LOOKUP VALUES'!$D$1:$D$8,'LOOKUP VALUES'!$E$1:$E$8,,1,1)</f>
        <v>0.05</v>
      </c>
      <c r="AM73" s="56">
        <f>(AH73)/AL73</f>
        <v>11295.983527623113</v>
      </c>
      <c r="AN73" s="56" t="str">
        <f>_xlfn.XLOOKUP(AM73,'LOOKUP VALUES'!$H$2:$H$14,'LOOKUP VALUES'!$I$2:$I$14,,1,1)</f>
        <v>15-18</v>
      </c>
    </row>
    <row r="74" spans="2:40" ht="15.6" x14ac:dyDescent="0.35">
      <c r="B74" s="50"/>
      <c r="C74" s="56"/>
      <c r="D74" s="52" t="s">
        <v>130</v>
      </c>
      <c r="E74" s="52" t="s">
        <v>131</v>
      </c>
      <c r="F74" s="52" t="s">
        <v>124</v>
      </c>
      <c r="G74" s="52" t="s">
        <v>125</v>
      </c>
      <c r="H74" s="52" t="s">
        <v>126</v>
      </c>
      <c r="I74" s="52" t="s">
        <v>127</v>
      </c>
      <c r="J74" s="52" t="s">
        <v>128</v>
      </c>
      <c r="L74" s="50"/>
      <c r="M74" s="56"/>
      <c r="N74" s="52" t="s">
        <v>130</v>
      </c>
      <c r="O74" s="52" t="s">
        <v>131</v>
      </c>
      <c r="P74" s="52" t="s">
        <v>124</v>
      </c>
      <c r="Q74" s="52" t="s">
        <v>125</v>
      </c>
      <c r="R74" s="52" t="s">
        <v>126</v>
      </c>
      <c r="S74" s="52" t="s">
        <v>127</v>
      </c>
      <c r="T74" s="52" t="s">
        <v>128</v>
      </c>
      <c r="V74" s="50"/>
      <c r="W74" s="56"/>
      <c r="X74" s="52" t="s">
        <v>130</v>
      </c>
      <c r="Y74" s="52" t="s">
        <v>131</v>
      </c>
      <c r="Z74" s="52" t="s">
        <v>124</v>
      </c>
      <c r="AA74" s="52" t="s">
        <v>125</v>
      </c>
      <c r="AB74" s="52" t="s">
        <v>126</v>
      </c>
      <c r="AC74" s="52" t="s">
        <v>127</v>
      </c>
      <c r="AD74" s="52" t="s">
        <v>128</v>
      </c>
      <c r="AF74" s="50"/>
      <c r="AG74" s="56"/>
      <c r="AH74" s="52" t="s">
        <v>130</v>
      </c>
      <c r="AI74" s="52" t="s">
        <v>131</v>
      </c>
      <c r="AJ74" s="52" t="s">
        <v>124</v>
      </c>
      <c r="AK74" s="52" t="s">
        <v>125</v>
      </c>
      <c r="AL74" s="52" t="s">
        <v>126</v>
      </c>
      <c r="AM74" s="52" t="s">
        <v>127</v>
      </c>
      <c r="AN74" s="52" t="s">
        <v>128</v>
      </c>
    </row>
    <row r="75" spans="2:40" x14ac:dyDescent="0.3">
      <c r="B75" s="50"/>
      <c r="C75" s="56"/>
      <c r="D75" s="55">
        <f>(C73*1000)/(SQRT(3)*$C$3)</f>
        <v>753.06556850820755</v>
      </c>
      <c r="E75" s="55">
        <f>1.25*D75</f>
        <v>941.33196063525941</v>
      </c>
      <c r="F75" s="56">
        <f>_xlfn.XLOOKUP(E75,'LOOKUP VALUES'!$A$2:$A$30,'LOOKUP VALUES'!$B$2:$B$30,,1,1)</f>
        <v>1000</v>
      </c>
      <c r="G75" s="56" t="str">
        <f>IF(C73&gt;1000,"ACB","MCCB")</f>
        <v>MCCB</v>
      </c>
      <c r="H75" s="57">
        <f>_xlfn.XLOOKUP(C73,'LOOKUP VALUES'!$D$1:$D$8,'LOOKUP VALUES'!$E$1:$E$8,,1,1)</f>
        <v>0.04</v>
      </c>
      <c r="I75" s="56">
        <f>(D75)/H75</f>
        <v>18826.639212705188</v>
      </c>
      <c r="J75" s="56" t="str">
        <f>_xlfn.XLOOKUP(I75,'LOOKUP VALUES'!$H$2:$H$14,'LOOKUP VALUES'!$I$2:$I$14,,1,1)</f>
        <v>25-35</v>
      </c>
      <c r="L75" s="50"/>
      <c r="M75" s="56"/>
      <c r="N75" s="55">
        <f>(M73*1000)/(SQRT(3)*$C$3)</f>
        <v>2008.1748493552202</v>
      </c>
      <c r="O75" s="55">
        <f>1.25*N75</f>
        <v>2510.2185616940251</v>
      </c>
      <c r="P75" s="56">
        <f>_xlfn.XLOOKUP(O75,'LOOKUP VALUES'!$A$2:$A$30,'LOOKUP VALUES'!$B$2:$B$30,,1,1)</f>
        <v>3000</v>
      </c>
      <c r="Q75" s="56" t="str">
        <f>IF(M73&gt;1000,"ACB","MCCB")</f>
        <v>MCCB</v>
      </c>
      <c r="R75" s="57">
        <f>_xlfn.XLOOKUP(M73,'LOOKUP VALUES'!$D$1:$D$8,'LOOKUP VALUES'!$E$1:$E$8,,1,1)</f>
        <v>0.06</v>
      </c>
      <c r="S75" s="56">
        <f>(N75)/R75</f>
        <v>33469.580822587006</v>
      </c>
      <c r="T75" s="56" t="str">
        <f>_xlfn.XLOOKUP(S75,'LOOKUP VALUES'!$H$2:$H$14,'LOOKUP VALUES'!$I$2:$I$14,,1,1)</f>
        <v>60</v>
      </c>
      <c r="V75" s="50"/>
      <c r="W75" s="56"/>
      <c r="X75" s="55">
        <f>(W73*1000)/(SQRT(3)*$C$3)</f>
        <v>1129.5983527623114</v>
      </c>
      <c r="Y75" s="55">
        <f>1.25*X75</f>
        <v>1411.9979409528892</v>
      </c>
      <c r="Z75" s="56">
        <f>_xlfn.XLOOKUP(Y75,'LOOKUP VALUES'!$A$2:$A$30,'LOOKUP VALUES'!$B$2:$B$30,,1,1)</f>
        <v>1600</v>
      </c>
      <c r="AA75" s="56" t="str">
        <f>IF(W73&gt;1000,"ACB","MCCB")</f>
        <v>MCCB</v>
      </c>
      <c r="AB75" s="57">
        <f>_xlfn.XLOOKUP(W73,'LOOKUP VALUES'!$D$1:$D$8,'LOOKUP VALUES'!$E$1:$E$8,,1,1)</f>
        <v>0.05</v>
      </c>
      <c r="AC75" s="56">
        <f>(X75)/AB75</f>
        <v>22591.967055246227</v>
      </c>
      <c r="AD75" s="56" t="str">
        <f>_xlfn.XLOOKUP(AC75,'LOOKUP VALUES'!$H$2:$H$14,'LOOKUP VALUES'!$I$2:$I$14,,1,1)</f>
        <v>25-35</v>
      </c>
      <c r="AF75" s="50"/>
      <c r="AG75" s="56"/>
      <c r="AH75" s="55">
        <f>(AG73*1000)/(SQRT(3)*$C$3)</f>
        <v>1129.5983527623114</v>
      </c>
      <c r="AI75" s="55">
        <f>1.25*AH75</f>
        <v>1411.9979409528892</v>
      </c>
      <c r="AJ75" s="56">
        <f>_xlfn.XLOOKUP(AI75,'LOOKUP VALUES'!$A$2:$A$30,'LOOKUP VALUES'!$B$2:$B$30,,1,1)</f>
        <v>1600</v>
      </c>
      <c r="AK75" s="56" t="str">
        <f>IF(AG73&gt;1000,"ACB","MCCB")</f>
        <v>MCCB</v>
      </c>
      <c r="AL75" s="57">
        <f>_xlfn.XLOOKUP(AG73,'LOOKUP VALUES'!$D$1:$D$8,'LOOKUP VALUES'!$E$1:$E$8,,1,1)</f>
        <v>0.05</v>
      </c>
      <c r="AM75" s="56">
        <f>(AH75)/AL75</f>
        <v>22591.967055246227</v>
      </c>
      <c r="AN75" s="56" t="str">
        <f>_xlfn.XLOOKUP(AM75,'LOOKUP VALUES'!$H$2:$H$14,'LOOKUP VALUES'!$I$2:$I$14,,1,1)</f>
        <v>25-35</v>
      </c>
    </row>
    <row r="76" spans="2:40" x14ac:dyDescent="0.3">
      <c r="B76" s="50"/>
      <c r="C76" s="50"/>
      <c r="D76" s="50"/>
      <c r="E76" s="50"/>
      <c r="F76" s="50"/>
      <c r="G76" s="50"/>
      <c r="H76" s="50"/>
      <c r="I76" s="50"/>
      <c r="J76" s="50"/>
      <c r="L76" s="50"/>
      <c r="M76" s="50"/>
      <c r="N76" s="50"/>
      <c r="O76" s="50"/>
      <c r="P76" s="50"/>
      <c r="Q76" s="50"/>
      <c r="R76" s="50"/>
      <c r="S76" s="50"/>
      <c r="T76" s="50"/>
      <c r="V76" s="50"/>
      <c r="W76" s="50"/>
      <c r="X76" s="50"/>
      <c r="Y76" s="50"/>
      <c r="Z76" s="50"/>
      <c r="AA76" s="50"/>
      <c r="AB76" s="50"/>
      <c r="AC76" s="50"/>
      <c r="AD76" s="50"/>
      <c r="AF76" s="50"/>
      <c r="AG76" s="50"/>
      <c r="AH76" s="50"/>
      <c r="AI76" s="50"/>
      <c r="AJ76" s="50"/>
      <c r="AK76" s="50"/>
      <c r="AL76" s="50"/>
      <c r="AM76" s="50"/>
      <c r="AN76" s="50"/>
    </row>
    <row r="77" spans="2:40" ht="15.6" x14ac:dyDescent="0.35">
      <c r="B77" s="50"/>
      <c r="C77" s="52" t="s">
        <v>77</v>
      </c>
      <c r="D77" s="52" t="s">
        <v>122</v>
      </c>
      <c r="E77" s="52" t="s">
        <v>123</v>
      </c>
      <c r="F77" s="52" t="s">
        <v>124</v>
      </c>
      <c r="G77" s="52" t="s">
        <v>125</v>
      </c>
      <c r="H77" s="52" t="s">
        <v>126</v>
      </c>
      <c r="I77" s="52" t="s">
        <v>127</v>
      </c>
      <c r="J77" s="52" t="s">
        <v>128</v>
      </c>
      <c r="L77" s="50"/>
      <c r="M77" s="52" t="s">
        <v>77</v>
      </c>
      <c r="N77" s="52" t="s">
        <v>122</v>
      </c>
      <c r="O77" s="52" t="s">
        <v>123</v>
      </c>
      <c r="P77" s="52" t="s">
        <v>124</v>
      </c>
      <c r="Q77" s="52" t="s">
        <v>125</v>
      </c>
      <c r="R77" s="52" t="s">
        <v>126</v>
      </c>
      <c r="S77" s="52" t="s">
        <v>127</v>
      </c>
      <c r="T77" s="52" t="s">
        <v>128</v>
      </c>
      <c r="V77" s="50"/>
      <c r="W77" s="52" t="s">
        <v>77</v>
      </c>
      <c r="X77" s="52" t="s">
        <v>122</v>
      </c>
      <c r="Y77" s="52" t="s">
        <v>123</v>
      </c>
      <c r="Z77" s="52" t="s">
        <v>124</v>
      </c>
      <c r="AA77" s="52" t="s">
        <v>125</v>
      </c>
      <c r="AB77" s="52" t="s">
        <v>126</v>
      </c>
      <c r="AC77" s="52" t="s">
        <v>127</v>
      </c>
      <c r="AD77" s="52" t="s">
        <v>128</v>
      </c>
      <c r="AF77" s="50"/>
      <c r="AG77" s="52" t="s">
        <v>77</v>
      </c>
      <c r="AH77" s="52" t="s">
        <v>122</v>
      </c>
      <c r="AI77" s="52" t="s">
        <v>123</v>
      </c>
      <c r="AJ77" s="52" t="s">
        <v>124</v>
      </c>
      <c r="AK77" s="52" t="s">
        <v>125</v>
      </c>
      <c r="AL77" s="52" t="s">
        <v>126</v>
      </c>
      <c r="AM77" s="52" t="s">
        <v>127</v>
      </c>
      <c r="AN77" s="52" t="s">
        <v>128</v>
      </c>
    </row>
    <row r="78" spans="2:40" ht="15.6" x14ac:dyDescent="0.35">
      <c r="B78" s="53" t="s">
        <v>145</v>
      </c>
      <c r="C78" s="54">
        <f>'STUDY AREA 1'!Y118</f>
        <v>600</v>
      </c>
      <c r="D78" s="55">
        <f>(C78*1000)/(SQRT(3)*$C$2)</f>
        <v>753.06556850820755</v>
      </c>
      <c r="E78" s="55">
        <f>1.25*D78</f>
        <v>941.33196063525941</v>
      </c>
      <c r="F78" s="56">
        <f>_xlfn.XLOOKUP(E78,'LOOKUP VALUES'!$A$2:$A$30,'LOOKUP VALUES'!$B$2:$B$30,,1,1)</f>
        <v>1000</v>
      </c>
      <c r="G78" s="56" t="str">
        <f>IF(C78&gt;1000,"ACB","MCCB")</f>
        <v>MCCB</v>
      </c>
      <c r="H78" s="57">
        <f>_xlfn.XLOOKUP(C78,'LOOKUP VALUES'!$D$1:$D$8,'LOOKUP VALUES'!$E$1:$E$8,,1,1)</f>
        <v>0.05</v>
      </c>
      <c r="I78" s="56">
        <f>(D78)/H78</f>
        <v>15061.311370164151</v>
      </c>
      <c r="J78" s="56" t="str">
        <f>_xlfn.XLOOKUP(I78,'LOOKUP VALUES'!$H$2:$H$14,'LOOKUP VALUES'!$I$2:$I$14,,1,1)</f>
        <v>25-35</v>
      </c>
      <c r="L78" s="53" t="s">
        <v>145</v>
      </c>
      <c r="M78" s="54">
        <f>'STUDY AREA 2'!Y116</f>
        <v>225</v>
      </c>
      <c r="N78" s="55">
        <f>(M78*1000)/(SQRT(3)*$C$2)</f>
        <v>282.39958819057784</v>
      </c>
      <c r="O78" s="55">
        <f>1.25*N78</f>
        <v>352.99948523822229</v>
      </c>
      <c r="P78" s="56">
        <f>_xlfn.XLOOKUP(O78,'LOOKUP VALUES'!$A$2:$A$30,'LOOKUP VALUES'!$B$2:$B$30,,1,1)</f>
        <v>400</v>
      </c>
      <c r="Q78" s="56" t="str">
        <f>IF(M78&gt;1000,"ACB","MCCB")</f>
        <v>MCCB</v>
      </c>
      <c r="R78" s="57">
        <f>_xlfn.XLOOKUP(M78,'LOOKUP VALUES'!$D$1:$D$8,'LOOKUP VALUES'!$E$1:$E$8,,1,1)</f>
        <v>0.04</v>
      </c>
      <c r="S78" s="56">
        <f>(N78)/R78</f>
        <v>7059.9897047644463</v>
      </c>
      <c r="T78" s="56">
        <f>_xlfn.XLOOKUP(S78,'LOOKUP VALUES'!$H$2:$H$14,'LOOKUP VALUES'!$I$2:$I$14,,1,1)</f>
        <v>10</v>
      </c>
      <c r="V78" s="53" t="s">
        <v>145</v>
      </c>
      <c r="W78" s="54">
        <f>'STUDY AREA 3'!Y118</f>
        <v>450</v>
      </c>
      <c r="X78" s="55">
        <f>(W78*1000)/(SQRT(3)*$C$2)</f>
        <v>564.79917638115569</v>
      </c>
      <c r="Y78" s="55">
        <f>1.25*X78</f>
        <v>705.99897047644458</v>
      </c>
      <c r="Z78" s="56">
        <f>_xlfn.XLOOKUP(Y78,'LOOKUP VALUES'!$A$2:$A$30,'LOOKUP VALUES'!$B$2:$B$30,,1,1)</f>
        <v>800</v>
      </c>
      <c r="AA78" s="56" t="str">
        <f>IF(W78&gt;1000,"ACB","MCCB")</f>
        <v>MCCB</v>
      </c>
      <c r="AB78" s="57">
        <f>_xlfn.XLOOKUP(W78,'LOOKUP VALUES'!$D$1:$D$8,'LOOKUP VALUES'!$E$1:$E$8,,1,1)</f>
        <v>0.05</v>
      </c>
      <c r="AC78" s="56">
        <f>(X78)/AB78</f>
        <v>11295.983527623113</v>
      </c>
      <c r="AD78" s="56" t="str">
        <f>_xlfn.XLOOKUP(AC78,'LOOKUP VALUES'!$H$2:$H$14,'LOOKUP VALUES'!$I$2:$I$14,,1,1)</f>
        <v>15-18</v>
      </c>
      <c r="AF78" s="53" t="s">
        <v>145</v>
      </c>
      <c r="AG78" s="54">
        <f>'STUDY AREA 4'!Y118</f>
        <v>500</v>
      </c>
      <c r="AH78" s="55">
        <f>(AG78*1000)/(SQRT(3)*$C$2)</f>
        <v>627.55464042350627</v>
      </c>
      <c r="AI78" s="55">
        <f>1.25*AH78</f>
        <v>784.4433005293829</v>
      </c>
      <c r="AJ78" s="56">
        <f>_xlfn.XLOOKUP(AI78,'LOOKUP VALUES'!$A$2:$A$30,'LOOKUP VALUES'!$B$2:$B$30,,1,1)</f>
        <v>800</v>
      </c>
      <c r="AK78" s="56" t="str">
        <f>IF(AG78&gt;1000,"ACB","MCCB")</f>
        <v>MCCB</v>
      </c>
      <c r="AL78" s="57">
        <f>_xlfn.XLOOKUP(AG78,'LOOKUP VALUES'!$D$1:$D$8,'LOOKUP VALUES'!$E$1:$E$8,,1,1)</f>
        <v>0.05</v>
      </c>
      <c r="AM78" s="56">
        <f>(AH78)/AL78</f>
        <v>12551.092808470125</v>
      </c>
      <c r="AN78" s="56" t="str">
        <f>_xlfn.XLOOKUP(AM78,'LOOKUP VALUES'!$H$2:$H$14,'LOOKUP VALUES'!$I$2:$I$14,,1,1)</f>
        <v>25-35</v>
      </c>
    </row>
    <row r="79" spans="2:40" ht="15.6" x14ac:dyDescent="0.35">
      <c r="B79" s="50"/>
      <c r="C79" s="56"/>
      <c r="D79" s="52" t="s">
        <v>130</v>
      </c>
      <c r="E79" s="52" t="s">
        <v>131</v>
      </c>
      <c r="F79" s="52" t="s">
        <v>124</v>
      </c>
      <c r="G79" s="52" t="s">
        <v>125</v>
      </c>
      <c r="H79" s="52" t="s">
        <v>126</v>
      </c>
      <c r="I79" s="52" t="s">
        <v>127</v>
      </c>
      <c r="J79" s="52" t="s">
        <v>128</v>
      </c>
      <c r="L79" s="50"/>
      <c r="M79" s="56"/>
      <c r="N79" s="52" t="s">
        <v>130</v>
      </c>
      <c r="O79" s="52" t="s">
        <v>131</v>
      </c>
      <c r="P79" s="52" t="s">
        <v>124</v>
      </c>
      <c r="Q79" s="52" t="s">
        <v>125</v>
      </c>
      <c r="R79" s="52" t="s">
        <v>126</v>
      </c>
      <c r="S79" s="52" t="s">
        <v>127</v>
      </c>
      <c r="T79" s="52" t="s">
        <v>128</v>
      </c>
      <c r="V79" s="50"/>
      <c r="W79" s="56"/>
      <c r="X79" s="52" t="s">
        <v>130</v>
      </c>
      <c r="Y79" s="52" t="s">
        <v>131</v>
      </c>
      <c r="Z79" s="52" t="s">
        <v>124</v>
      </c>
      <c r="AA79" s="52" t="s">
        <v>125</v>
      </c>
      <c r="AB79" s="52" t="s">
        <v>126</v>
      </c>
      <c r="AC79" s="52" t="s">
        <v>127</v>
      </c>
      <c r="AD79" s="52" t="s">
        <v>128</v>
      </c>
      <c r="AF79" s="50"/>
      <c r="AG79" s="56"/>
      <c r="AH79" s="52" t="s">
        <v>130</v>
      </c>
      <c r="AI79" s="52" t="s">
        <v>131</v>
      </c>
      <c r="AJ79" s="52" t="s">
        <v>124</v>
      </c>
      <c r="AK79" s="52" t="s">
        <v>125</v>
      </c>
      <c r="AL79" s="52" t="s">
        <v>126</v>
      </c>
      <c r="AM79" s="52" t="s">
        <v>127</v>
      </c>
      <c r="AN79" s="52" t="s">
        <v>128</v>
      </c>
    </row>
    <row r="80" spans="2:40" x14ac:dyDescent="0.3">
      <c r="B80" s="50"/>
      <c r="C80" s="56"/>
      <c r="D80" s="55">
        <f>(C78*1000)/(SQRT(3)*$C$3)</f>
        <v>1506.1311370164151</v>
      </c>
      <c r="E80" s="55">
        <f>1.25*D80</f>
        <v>1882.6639212705188</v>
      </c>
      <c r="F80" s="56">
        <f>_xlfn.XLOOKUP(E80,'LOOKUP VALUES'!$A$2:$A$30,'LOOKUP VALUES'!$B$2:$B$30,,1,1)</f>
        <v>2000</v>
      </c>
      <c r="G80" s="56" t="str">
        <f>IF(C78&gt;1000,"ACB","MCCB")</f>
        <v>MCCB</v>
      </c>
      <c r="H80" s="57">
        <f>_xlfn.XLOOKUP(C78,'LOOKUP VALUES'!$D$1:$D$8,'LOOKUP VALUES'!$E$1:$E$8,,1,1)</f>
        <v>0.05</v>
      </c>
      <c r="I80" s="56">
        <f>(D80)/H80</f>
        <v>30122.622740328301</v>
      </c>
      <c r="J80" s="56" t="str">
        <f>_xlfn.XLOOKUP(I80,'LOOKUP VALUES'!$H$2:$H$14,'LOOKUP VALUES'!$I$2:$I$14,,1,1)</f>
        <v>60</v>
      </c>
      <c r="L80" s="50"/>
      <c r="M80" s="56"/>
      <c r="N80" s="55">
        <f>(M78*1000)/(SQRT(3)*$C$3)</f>
        <v>564.79917638115569</v>
      </c>
      <c r="O80" s="55">
        <f>1.25*N80</f>
        <v>705.99897047644458</v>
      </c>
      <c r="P80" s="56">
        <f>_xlfn.XLOOKUP(O80,'LOOKUP VALUES'!$A$2:$A$30,'LOOKUP VALUES'!$B$2:$B$30,,1,1)</f>
        <v>800</v>
      </c>
      <c r="Q80" s="56" t="str">
        <f>IF(M78&gt;1000,"ACB","MCCB")</f>
        <v>MCCB</v>
      </c>
      <c r="R80" s="57">
        <f>_xlfn.XLOOKUP(M78,'LOOKUP VALUES'!$D$1:$D$8,'LOOKUP VALUES'!$E$1:$E$8,,1,1)</f>
        <v>0.04</v>
      </c>
      <c r="S80" s="56">
        <f>(N80)/R80</f>
        <v>14119.979409528893</v>
      </c>
      <c r="T80" s="56" t="str">
        <f>_xlfn.XLOOKUP(S80,'LOOKUP VALUES'!$H$2:$H$14,'LOOKUP VALUES'!$I$2:$I$14,,1,1)</f>
        <v>25-35</v>
      </c>
      <c r="V80" s="50"/>
      <c r="W80" s="56"/>
      <c r="X80" s="55">
        <f>(W78*1000)/(SQRT(3)*$C$3)</f>
        <v>1129.5983527623114</v>
      </c>
      <c r="Y80" s="55">
        <f>1.25*X80</f>
        <v>1411.9979409528892</v>
      </c>
      <c r="Z80" s="56">
        <f>_xlfn.XLOOKUP(Y80,'LOOKUP VALUES'!$A$2:$A$30,'LOOKUP VALUES'!$B$2:$B$30,,1,1)</f>
        <v>1600</v>
      </c>
      <c r="AA80" s="56" t="str">
        <f>IF(W78&gt;1000,"ACB","MCCB")</f>
        <v>MCCB</v>
      </c>
      <c r="AB80" s="57">
        <f>_xlfn.XLOOKUP(W78,'LOOKUP VALUES'!$D$1:$D$8,'LOOKUP VALUES'!$E$1:$E$8,,1,1)</f>
        <v>0.05</v>
      </c>
      <c r="AC80" s="56">
        <f>(X80)/AB80</f>
        <v>22591.967055246227</v>
      </c>
      <c r="AD80" s="56" t="str">
        <f>_xlfn.XLOOKUP(AC80,'LOOKUP VALUES'!$H$2:$H$14,'LOOKUP VALUES'!$I$2:$I$14,,1,1)</f>
        <v>25-35</v>
      </c>
      <c r="AF80" s="50"/>
      <c r="AG80" s="56"/>
      <c r="AH80" s="55">
        <f>(AG78*1000)/(SQRT(3)*$C$3)</f>
        <v>1255.1092808470125</v>
      </c>
      <c r="AI80" s="55">
        <f>1.25*AH80</f>
        <v>1568.8866010587658</v>
      </c>
      <c r="AJ80" s="56">
        <f>_xlfn.XLOOKUP(AI80,'LOOKUP VALUES'!$A$2:$A$30,'LOOKUP VALUES'!$B$2:$B$30,,1,1)</f>
        <v>1600</v>
      </c>
      <c r="AK80" s="56" t="str">
        <f>IF(AG78&gt;1000,"ACB","MCCB")</f>
        <v>MCCB</v>
      </c>
      <c r="AL80" s="57">
        <f>_xlfn.XLOOKUP(AG78,'LOOKUP VALUES'!$D$1:$D$8,'LOOKUP VALUES'!$E$1:$E$8,,1,1)</f>
        <v>0.05</v>
      </c>
      <c r="AM80" s="56">
        <f>(AH80)/AL80</f>
        <v>25102.185616940249</v>
      </c>
      <c r="AN80" s="56" t="str">
        <f>_xlfn.XLOOKUP(AM80,'LOOKUP VALUES'!$H$2:$H$14,'LOOKUP VALUES'!$I$2:$I$14,,1,1)</f>
        <v>60</v>
      </c>
    </row>
    <row r="81" spans="2:40" x14ac:dyDescent="0.3">
      <c r="B81" s="50"/>
      <c r="C81" s="50"/>
      <c r="D81" s="50"/>
      <c r="E81" s="50"/>
      <c r="F81" s="50"/>
      <c r="G81" s="50"/>
      <c r="H81" s="50"/>
      <c r="I81" s="50"/>
      <c r="J81" s="50"/>
      <c r="L81" s="50"/>
      <c r="M81" s="50"/>
      <c r="N81" s="50"/>
      <c r="O81" s="50"/>
      <c r="P81" s="50"/>
      <c r="Q81" s="50"/>
      <c r="R81" s="50"/>
      <c r="S81" s="50"/>
      <c r="T81" s="50"/>
      <c r="V81" s="50"/>
      <c r="W81" s="50"/>
      <c r="X81" s="50"/>
      <c r="Y81" s="50"/>
      <c r="Z81" s="50"/>
      <c r="AA81" s="50"/>
      <c r="AB81" s="50"/>
      <c r="AC81" s="50"/>
      <c r="AD81" s="50"/>
      <c r="AF81" s="50"/>
      <c r="AG81" s="50"/>
      <c r="AH81" s="50"/>
      <c r="AI81" s="50"/>
      <c r="AJ81" s="50"/>
      <c r="AK81" s="50"/>
      <c r="AL81" s="50"/>
      <c r="AM81" s="50"/>
      <c r="AN81" s="50"/>
    </row>
    <row r="82" spans="2:40" ht="15.6" x14ac:dyDescent="0.35">
      <c r="B82" s="51"/>
      <c r="C82" s="52" t="s">
        <v>77</v>
      </c>
      <c r="D82" s="52" t="s">
        <v>122</v>
      </c>
      <c r="E82" s="52" t="s">
        <v>123</v>
      </c>
      <c r="F82" s="52" t="s">
        <v>124</v>
      </c>
      <c r="G82" s="52" t="s">
        <v>125</v>
      </c>
      <c r="H82" s="52" t="s">
        <v>126</v>
      </c>
      <c r="I82" s="52" t="s">
        <v>127</v>
      </c>
      <c r="J82" s="52" t="s">
        <v>128</v>
      </c>
      <c r="L82" s="51"/>
      <c r="M82" s="52" t="s">
        <v>77</v>
      </c>
      <c r="N82" s="52" t="s">
        <v>122</v>
      </c>
      <c r="O82" s="52" t="s">
        <v>123</v>
      </c>
      <c r="P82" s="52" t="s">
        <v>124</v>
      </c>
      <c r="Q82" s="52" t="s">
        <v>125</v>
      </c>
      <c r="R82" s="52" t="s">
        <v>126</v>
      </c>
      <c r="S82" s="52" t="s">
        <v>127</v>
      </c>
      <c r="T82" s="52" t="s">
        <v>128</v>
      </c>
      <c r="V82" s="51"/>
      <c r="W82" s="52" t="s">
        <v>77</v>
      </c>
      <c r="X82" s="52" t="s">
        <v>122</v>
      </c>
      <c r="Y82" s="52" t="s">
        <v>123</v>
      </c>
      <c r="Z82" s="52" t="s">
        <v>124</v>
      </c>
      <c r="AA82" s="52" t="s">
        <v>125</v>
      </c>
      <c r="AB82" s="52" t="s">
        <v>126</v>
      </c>
      <c r="AC82" s="52" t="s">
        <v>127</v>
      </c>
      <c r="AD82" s="52" t="s">
        <v>128</v>
      </c>
      <c r="AF82" s="51"/>
      <c r="AG82" s="52" t="s">
        <v>77</v>
      </c>
      <c r="AH82" s="52" t="s">
        <v>122</v>
      </c>
      <c r="AI82" s="52" t="s">
        <v>123</v>
      </c>
      <c r="AJ82" s="52" t="s">
        <v>124</v>
      </c>
      <c r="AK82" s="52" t="s">
        <v>125</v>
      </c>
      <c r="AL82" s="52" t="s">
        <v>126</v>
      </c>
      <c r="AM82" s="52" t="s">
        <v>127</v>
      </c>
      <c r="AN82" s="52" t="s">
        <v>128</v>
      </c>
    </row>
    <row r="83" spans="2:40" ht="15.6" x14ac:dyDescent="0.35">
      <c r="B83" s="53" t="s">
        <v>146</v>
      </c>
      <c r="C83" s="54">
        <f>'STUDY AREA 1'!Y126</f>
        <v>225</v>
      </c>
      <c r="D83" s="55">
        <f>(C83*1000)/(SQRT(3)*$C$2)</f>
        <v>282.39958819057784</v>
      </c>
      <c r="E83" s="55">
        <f>1.25*D83</f>
        <v>352.99948523822229</v>
      </c>
      <c r="F83" s="56">
        <f>_xlfn.XLOOKUP(E83,'LOOKUP VALUES'!$A$2:$A$30,'LOOKUP VALUES'!$B$2:$B$30,,1,1)</f>
        <v>400</v>
      </c>
      <c r="G83" s="56" t="str">
        <f>IF(C83&gt;1000,"ACB","MCCB")</f>
        <v>MCCB</v>
      </c>
      <c r="H83" s="57">
        <f>_xlfn.XLOOKUP(C83,'LOOKUP VALUES'!$D$1:$D$8,'LOOKUP VALUES'!$E$1:$E$8,,1,1)</f>
        <v>0.04</v>
      </c>
      <c r="I83" s="56">
        <f>(D83)/H83</f>
        <v>7059.9897047644463</v>
      </c>
      <c r="J83" s="56">
        <f>_xlfn.XLOOKUP(I83,'LOOKUP VALUES'!$H$2:$H$14,'LOOKUP VALUES'!$I$2:$I$14,,1,1)</f>
        <v>10</v>
      </c>
      <c r="L83" s="53" t="s">
        <v>149</v>
      </c>
      <c r="M83" s="54">
        <f>'STUDY AREA 2'!Y23</f>
        <v>2500</v>
      </c>
      <c r="N83" s="55">
        <f>(M83*1000)/(SQRT(3)*69000)</f>
        <v>20.918488014116878</v>
      </c>
      <c r="O83" s="55">
        <f>1.25*N83</f>
        <v>26.148110017646097</v>
      </c>
      <c r="P83" s="56">
        <f>_xlfn.XLOOKUP(O83,'LOOKUP VALUES'!$A$2:$A$30,'LOOKUP VALUES'!$B$2:$B$30,,1,1)</f>
        <v>70</v>
      </c>
      <c r="Q83" s="56" t="str">
        <f>IF(M83&gt;1000,"ACB","MCCB")</f>
        <v>ACB</v>
      </c>
      <c r="R83" s="57">
        <f>_xlfn.XLOOKUP(M83,'LOOKUP VALUES'!$D$1:$D$8,'LOOKUP VALUES'!$E$1:$E$8,,1,1)</f>
        <v>0.06</v>
      </c>
      <c r="S83" s="56">
        <f>(N83)/R83</f>
        <v>348.64146690194798</v>
      </c>
      <c r="T83" s="56">
        <f>_xlfn.XLOOKUP(S83,'LOOKUP VALUES'!$H$2:$H$14,'LOOKUP VALUES'!$I$2:$I$14,,1,1)</f>
        <v>6</v>
      </c>
      <c r="V83" s="53" t="s">
        <v>149</v>
      </c>
      <c r="W83" s="54">
        <f>'STUDY AREA 3'!Y71</f>
        <v>2500</v>
      </c>
      <c r="X83" s="55">
        <f>(W83*1000)/(SQRT(3)*69000)</f>
        <v>20.918488014116878</v>
      </c>
      <c r="Y83" s="55">
        <f>1.25*X83</f>
        <v>26.148110017646097</v>
      </c>
      <c r="Z83" s="56">
        <f>_xlfn.XLOOKUP(Y83,'LOOKUP VALUES'!$A$2:$A$30,'LOOKUP VALUES'!$B$2:$B$30,,1,1)</f>
        <v>70</v>
      </c>
      <c r="AA83" s="56" t="str">
        <f>IF(W83&gt;1000,"ACB","MCCB")</f>
        <v>ACB</v>
      </c>
      <c r="AB83" s="57">
        <f>_xlfn.XLOOKUP(W83,'LOOKUP VALUES'!$D$1:$D$8,'LOOKUP VALUES'!$E$1:$E$8,,1,1)</f>
        <v>0.06</v>
      </c>
      <c r="AC83" s="56">
        <f>(X83)/AB83</f>
        <v>348.64146690194798</v>
      </c>
      <c r="AD83" s="56">
        <f>_xlfn.XLOOKUP(AC83,'LOOKUP VALUES'!$H$2:$H$14,'LOOKUP VALUES'!$I$2:$I$14,,1,1)</f>
        <v>6</v>
      </c>
      <c r="AF83" s="53" t="s">
        <v>146</v>
      </c>
      <c r="AG83" s="54">
        <f>'STUDY AREA 4'!Y126</f>
        <v>112.5</v>
      </c>
      <c r="AH83" s="55">
        <f>(AG83*1000)/(SQRT(3)*$C$2)</f>
        <v>141.19979409528892</v>
      </c>
      <c r="AI83" s="55">
        <f>1.25*AH83</f>
        <v>176.49974261911115</v>
      </c>
      <c r="AJ83" s="56">
        <f>_xlfn.XLOOKUP(AI83,'LOOKUP VALUES'!$A$2:$A$30,'LOOKUP VALUES'!$B$2:$B$30,,1,1)</f>
        <v>200</v>
      </c>
      <c r="AK83" s="56" t="str">
        <f>IF(AG83&gt;1000,"ACB","MCCB")</f>
        <v>MCCB</v>
      </c>
      <c r="AL83" s="57">
        <f>_xlfn.XLOOKUP(AG83,'LOOKUP VALUES'!$D$1:$D$8,'LOOKUP VALUES'!$E$1:$E$8,,1,1)</f>
        <v>0.04</v>
      </c>
      <c r="AM83" s="56">
        <f>(AH83)/AL83</f>
        <v>3529.9948523822231</v>
      </c>
      <c r="AN83" s="56" t="str">
        <f>_xlfn.XLOOKUP(AM83,'LOOKUP VALUES'!$H$2:$H$14,'LOOKUP VALUES'!$I$2:$I$14,,1,1)</f>
        <v>6-10</v>
      </c>
    </row>
    <row r="84" spans="2:40" ht="15.6" x14ac:dyDescent="0.35">
      <c r="B84" s="50"/>
      <c r="C84" s="56"/>
      <c r="D84" s="52" t="s">
        <v>130</v>
      </c>
      <c r="E84" s="52" t="s">
        <v>131</v>
      </c>
      <c r="F84" s="52" t="s">
        <v>124</v>
      </c>
      <c r="G84" s="52" t="s">
        <v>125</v>
      </c>
      <c r="H84" s="52" t="s">
        <v>126</v>
      </c>
      <c r="I84" s="52" t="s">
        <v>127</v>
      </c>
      <c r="J84" s="52" t="s">
        <v>128</v>
      </c>
      <c r="L84" s="50"/>
      <c r="M84" s="56"/>
      <c r="N84" s="52" t="s">
        <v>130</v>
      </c>
      <c r="O84" s="52" t="s">
        <v>131</v>
      </c>
      <c r="P84" s="52" t="s">
        <v>124</v>
      </c>
      <c r="Q84" s="52" t="s">
        <v>125</v>
      </c>
      <c r="R84" s="52" t="s">
        <v>126</v>
      </c>
      <c r="S84" s="52" t="s">
        <v>127</v>
      </c>
      <c r="T84" s="52" t="s">
        <v>128</v>
      </c>
      <c r="V84" s="50"/>
      <c r="W84" s="56"/>
      <c r="X84" s="52" t="s">
        <v>130</v>
      </c>
      <c r="Y84" s="52" t="s">
        <v>131</v>
      </c>
      <c r="Z84" s="52" t="s">
        <v>124</v>
      </c>
      <c r="AA84" s="52" t="s">
        <v>125</v>
      </c>
      <c r="AB84" s="52" t="s">
        <v>126</v>
      </c>
      <c r="AC84" s="52" t="s">
        <v>127</v>
      </c>
      <c r="AD84" s="52" t="s">
        <v>128</v>
      </c>
      <c r="AF84" s="50"/>
      <c r="AG84" s="56"/>
      <c r="AH84" s="52" t="s">
        <v>130</v>
      </c>
      <c r="AI84" s="52" t="s">
        <v>131</v>
      </c>
      <c r="AJ84" s="52" t="s">
        <v>124</v>
      </c>
      <c r="AK84" s="52" t="s">
        <v>125</v>
      </c>
      <c r="AL84" s="52" t="s">
        <v>126</v>
      </c>
      <c r="AM84" s="52" t="s">
        <v>127</v>
      </c>
      <c r="AN84" s="52" t="s">
        <v>128</v>
      </c>
    </row>
    <row r="85" spans="2:40" x14ac:dyDescent="0.3">
      <c r="B85" s="50"/>
      <c r="C85" s="56"/>
      <c r="D85" s="55">
        <f>(C83*1000)/(SQRT(3)*$C$3)</f>
        <v>564.79917638115569</v>
      </c>
      <c r="E85" s="55">
        <f>1.25*D85</f>
        <v>705.99897047644458</v>
      </c>
      <c r="F85" s="56">
        <f>_xlfn.XLOOKUP(E85,'LOOKUP VALUES'!$A$2:$A$30,'LOOKUP VALUES'!$B$2:$B$30,,1,1)</f>
        <v>800</v>
      </c>
      <c r="G85" s="56" t="str">
        <f>IF(C83&gt;1000,"ACB","MCCB")</f>
        <v>MCCB</v>
      </c>
      <c r="H85" s="57">
        <f>_xlfn.XLOOKUP(C83,'LOOKUP VALUES'!$D$1:$D$8,'LOOKUP VALUES'!$E$1:$E$8,,1,1)</f>
        <v>0.04</v>
      </c>
      <c r="I85" s="56">
        <f>(D85)/H85</f>
        <v>14119.979409528893</v>
      </c>
      <c r="J85" s="56" t="str">
        <f>_xlfn.XLOOKUP(I85,'LOOKUP VALUES'!$H$2:$H$14,'LOOKUP VALUES'!$I$2:$I$14,,1,1)</f>
        <v>25-35</v>
      </c>
      <c r="L85" s="50"/>
      <c r="M85" s="56"/>
      <c r="N85" s="55">
        <f>(M83*1000)/(SQRT(3)*13200)</f>
        <v>109.34664189197458</v>
      </c>
      <c r="O85" s="55">
        <f>1.25*N85</f>
        <v>136.68330236496823</v>
      </c>
      <c r="P85" s="56">
        <f>_xlfn.XLOOKUP(O85,'LOOKUP VALUES'!$A$2:$A$30,'LOOKUP VALUES'!$B$2:$B$30,,1,1)</f>
        <v>150</v>
      </c>
      <c r="Q85" s="56" t="str">
        <f>IF(M83&gt;1000,"ACB","MCCB")</f>
        <v>ACB</v>
      </c>
      <c r="R85" s="57">
        <f>_xlfn.XLOOKUP(M83,'LOOKUP VALUES'!$D$1:$D$8,'LOOKUP VALUES'!$E$1:$E$8,,1,1)</f>
        <v>0.06</v>
      </c>
      <c r="S85" s="56">
        <f>(N85)/R85</f>
        <v>1822.4440315329098</v>
      </c>
      <c r="T85" s="56" t="str">
        <f>_xlfn.XLOOKUP(S85,'LOOKUP VALUES'!$H$2:$H$14,'LOOKUP VALUES'!$I$2:$I$14,,1,1)</f>
        <v>6-10</v>
      </c>
      <c r="V85" s="50"/>
      <c r="W85" s="56"/>
      <c r="X85" s="55">
        <f>(W83*1000)/(SQRT(3)*13200)</f>
        <v>109.34664189197458</v>
      </c>
      <c r="Y85" s="55">
        <f>1.25*X85</f>
        <v>136.68330236496823</v>
      </c>
      <c r="Z85" s="56">
        <f>_xlfn.XLOOKUP(Y85,'LOOKUP VALUES'!$A$2:$A$30,'LOOKUP VALUES'!$B$2:$B$30,,1,1)</f>
        <v>150</v>
      </c>
      <c r="AA85" s="56" t="str">
        <f>IF(W83&gt;1000,"ACB","MCCB")</f>
        <v>ACB</v>
      </c>
      <c r="AB85" s="57">
        <f>_xlfn.XLOOKUP(W83,'LOOKUP VALUES'!$D$1:$D$8,'LOOKUP VALUES'!$E$1:$E$8,,1,1)</f>
        <v>0.06</v>
      </c>
      <c r="AC85" s="56">
        <f>(X85)/AB85</f>
        <v>1822.4440315329098</v>
      </c>
      <c r="AD85" s="56" t="str">
        <f>_xlfn.XLOOKUP(AC85,'LOOKUP VALUES'!$H$2:$H$14,'LOOKUP VALUES'!$I$2:$I$14,,1,1)</f>
        <v>6-10</v>
      </c>
      <c r="AF85" s="50"/>
      <c r="AG85" s="56"/>
      <c r="AH85" s="55">
        <f>(AG83*1000)/(SQRT(3)*$C$3)</f>
        <v>282.39958819057784</v>
      </c>
      <c r="AI85" s="55">
        <f>1.25*AH85</f>
        <v>352.99948523822229</v>
      </c>
      <c r="AJ85" s="56">
        <f>_xlfn.XLOOKUP(AI85,'LOOKUP VALUES'!$A$2:$A$30,'LOOKUP VALUES'!$B$2:$B$30,,1,1)</f>
        <v>400</v>
      </c>
      <c r="AK85" s="56" t="str">
        <f>IF(AG83&gt;1000,"ACB","MCCB")</f>
        <v>MCCB</v>
      </c>
      <c r="AL85" s="57">
        <f>_xlfn.XLOOKUP(AG83,'LOOKUP VALUES'!$D$1:$D$8,'LOOKUP VALUES'!$E$1:$E$8,,1,1)</f>
        <v>0.04</v>
      </c>
      <c r="AM85" s="56">
        <f>(AH85)/AL85</f>
        <v>7059.9897047644463</v>
      </c>
      <c r="AN85" s="56">
        <f>_xlfn.XLOOKUP(AM85,'LOOKUP VALUES'!$H$2:$H$14,'LOOKUP VALUES'!$I$2:$I$14,,1,1)</f>
        <v>10</v>
      </c>
    </row>
    <row r="86" spans="2:40" x14ac:dyDescent="0.3">
      <c r="B86" s="50"/>
      <c r="C86" s="50"/>
      <c r="D86" s="50"/>
      <c r="E86" s="50"/>
      <c r="F86" s="50"/>
      <c r="G86" s="50"/>
      <c r="H86" s="50"/>
      <c r="I86" s="50"/>
      <c r="J86" s="50"/>
      <c r="L86" s="50"/>
      <c r="M86" s="50"/>
      <c r="N86" s="50"/>
      <c r="O86" s="50"/>
      <c r="P86" s="50"/>
      <c r="Q86" s="50"/>
      <c r="R86" s="50"/>
      <c r="S86" s="50"/>
      <c r="T86" s="50"/>
      <c r="V86" s="50"/>
      <c r="W86" s="50"/>
      <c r="X86" s="50"/>
      <c r="Y86" s="50"/>
      <c r="Z86" s="50"/>
      <c r="AA86" s="50"/>
      <c r="AB86" s="50"/>
      <c r="AC86" s="50"/>
      <c r="AD86" s="50"/>
      <c r="AF86" s="50"/>
      <c r="AG86" s="50"/>
      <c r="AH86" s="50"/>
      <c r="AI86" s="50"/>
      <c r="AJ86" s="50"/>
      <c r="AK86" s="50"/>
      <c r="AL86" s="50"/>
      <c r="AM86" s="50"/>
      <c r="AN86" s="50"/>
    </row>
    <row r="87" spans="2:40" ht="15.6" x14ac:dyDescent="0.35">
      <c r="B87" s="51"/>
      <c r="C87" s="52" t="s">
        <v>77</v>
      </c>
      <c r="D87" s="52" t="s">
        <v>122</v>
      </c>
      <c r="E87" s="52" t="s">
        <v>123</v>
      </c>
      <c r="F87" s="52" t="s">
        <v>124</v>
      </c>
      <c r="G87" s="52" t="s">
        <v>125</v>
      </c>
      <c r="H87" s="52" t="s">
        <v>126</v>
      </c>
      <c r="I87" s="52" t="s">
        <v>127</v>
      </c>
      <c r="J87" s="52" t="s">
        <v>128</v>
      </c>
      <c r="L87" s="51"/>
      <c r="M87" s="52" t="s">
        <v>77</v>
      </c>
      <c r="N87" s="52" t="s">
        <v>122</v>
      </c>
      <c r="O87" s="52" t="s">
        <v>123</v>
      </c>
      <c r="P87" s="52" t="s">
        <v>124</v>
      </c>
      <c r="Q87" s="52" t="s">
        <v>125</v>
      </c>
      <c r="R87" s="52" t="s">
        <v>126</v>
      </c>
      <c r="S87" s="52" t="s">
        <v>127</v>
      </c>
      <c r="T87" s="52" t="s">
        <v>128</v>
      </c>
      <c r="V87" s="51"/>
      <c r="W87" s="52" t="s">
        <v>77</v>
      </c>
      <c r="X87" s="52" t="s">
        <v>122</v>
      </c>
      <c r="Y87" s="52" t="s">
        <v>123</v>
      </c>
      <c r="Z87" s="52" t="s">
        <v>124</v>
      </c>
      <c r="AA87" s="52" t="s">
        <v>125</v>
      </c>
      <c r="AB87" s="52" t="s">
        <v>126</v>
      </c>
      <c r="AC87" s="52" t="s">
        <v>127</v>
      </c>
      <c r="AD87" s="52" t="s">
        <v>128</v>
      </c>
      <c r="AF87" s="51"/>
      <c r="AG87" s="52" t="s">
        <v>77</v>
      </c>
      <c r="AH87" s="52" t="s">
        <v>122</v>
      </c>
      <c r="AI87" s="52" t="s">
        <v>123</v>
      </c>
      <c r="AJ87" s="52" t="s">
        <v>124</v>
      </c>
      <c r="AK87" s="52" t="s">
        <v>125</v>
      </c>
      <c r="AL87" s="52" t="s">
        <v>126</v>
      </c>
      <c r="AM87" s="52" t="s">
        <v>127</v>
      </c>
      <c r="AN87" s="52" t="s">
        <v>128</v>
      </c>
    </row>
    <row r="88" spans="2:40" ht="15.6" x14ac:dyDescent="0.35">
      <c r="B88" s="53" t="s">
        <v>147</v>
      </c>
      <c r="C88" s="54">
        <f>'STUDY AREA 1'!Y134</f>
        <v>300</v>
      </c>
      <c r="D88" s="55">
        <f>(C88*1000)/(SQRT(3)*$C$2)</f>
        <v>376.53278425410377</v>
      </c>
      <c r="E88" s="55">
        <f>1.25*D88</f>
        <v>470.6659803176297</v>
      </c>
      <c r="F88" s="56">
        <f>_xlfn.XLOOKUP(E88,'LOOKUP VALUES'!$A$2:$A$30,'LOOKUP VALUES'!$B$2:$B$30,,1,1)</f>
        <v>500</v>
      </c>
      <c r="G88" s="56" t="str">
        <f>IF(C88&gt;1000,"ACB","MCCB")</f>
        <v>MCCB</v>
      </c>
      <c r="H88" s="57">
        <f>_xlfn.XLOOKUP(C88,'LOOKUP VALUES'!$D$1:$D$8,'LOOKUP VALUES'!$E$1:$E$8,,1,1)</f>
        <v>0.04</v>
      </c>
      <c r="I88" s="56">
        <f>(D88)/H88</f>
        <v>9413.3196063525938</v>
      </c>
      <c r="J88" s="56" t="str">
        <f>_xlfn.XLOOKUP(I88,'LOOKUP VALUES'!$H$2:$H$14,'LOOKUP VALUES'!$I$2:$I$14,,1,1)</f>
        <v>15-18</v>
      </c>
      <c r="L88" s="53" t="s">
        <v>150</v>
      </c>
      <c r="M88" s="54">
        <f>'STUDY AREA 2'!Y111</f>
        <v>2000</v>
      </c>
      <c r="N88" s="55">
        <f>(M88*1000)/(SQRT(3)*69000)</f>
        <v>16.734790411293503</v>
      </c>
      <c r="O88" s="55">
        <f>1.25*N88</f>
        <v>20.918488014116878</v>
      </c>
      <c r="P88" s="56">
        <f>_xlfn.XLOOKUP(O88,'LOOKUP VALUES'!$A$2:$A$30,'LOOKUP VALUES'!$B$2:$B$30,,1,1)</f>
        <v>70</v>
      </c>
      <c r="Q88" s="56" t="str">
        <f>IF(M88&gt;1000,"ACB","MCCB")</f>
        <v>ACB</v>
      </c>
      <c r="R88" s="57">
        <f>_xlfn.XLOOKUP(M88,'LOOKUP VALUES'!$D$1:$D$8,'LOOKUP VALUES'!$E$1:$E$8,,1,1)</f>
        <v>0.06</v>
      </c>
      <c r="S88" s="56">
        <f>(N88)/R88</f>
        <v>278.91317352155841</v>
      </c>
      <c r="T88" s="56">
        <f>_xlfn.XLOOKUP(S88,'LOOKUP VALUES'!$H$2:$H$14,'LOOKUP VALUES'!$I$2:$I$14,,1,1)</f>
        <v>6</v>
      </c>
      <c r="V88" s="53" t="s">
        <v>150</v>
      </c>
      <c r="W88" s="54">
        <f>'STUDY AREA 3'!Y96</f>
        <v>2500</v>
      </c>
      <c r="X88" s="55">
        <f>(W88*1000)/(SQRT(3)*69000)</f>
        <v>20.918488014116878</v>
      </c>
      <c r="Y88" s="55">
        <f>1.25*X88</f>
        <v>26.148110017646097</v>
      </c>
      <c r="Z88" s="56">
        <f>_xlfn.XLOOKUP(Y88,'LOOKUP VALUES'!$A$2:$A$30,'LOOKUP VALUES'!$B$2:$B$30,,1,1)</f>
        <v>70</v>
      </c>
      <c r="AA88" s="56" t="str">
        <f>IF(W88&gt;1000,"ACB","MCCB")</f>
        <v>ACB</v>
      </c>
      <c r="AB88" s="57">
        <f>_xlfn.XLOOKUP(W88,'LOOKUP VALUES'!$D$1:$D$8,'LOOKUP VALUES'!$E$1:$E$8,,1,1)</f>
        <v>0.06</v>
      </c>
      <c r="AC88" s="56">
        <f>(X88)/AB88</f>
        <v>348.64146690194798</v>
      </c>
      <c r="AD88" s="56">
        <f>_xlfn.XLOOKUP(AC88,'LOOKUP VALUES'!$H$2:$H$14,'LOOKUP VALUES'!$I$2:$I$14,,1,1)</f>
        <v>6</v>
      </c>
      <c r="AF88" s="53" t="s">
        <v>149</v>
      </c>
      <c r="AG88" s="54">
        <f>'STUDY AREA 4'!Y7</f>
        <v>2500</v>
      </c>
      <c r="AH88" s="55">
        <f>(AG88*1000)/(SQRT(3)*69000)</f>
        <v>20.918488014116878</v>
      </c>
      <c r="AI88" s="55">
        <f>1.25*AH88</f>
        <v>26.148110017646097</v>
      </c>
      <c r="AJ88" s="56">
        <f>_xlfn.XLOOKUP(AI88,'LOOKUP VALUES'!$A$2:$A$30,'LOOKUP VALUES'!$B$2:$B$30,,1,1)</f>
        <v>70</v>
      </c>
      <c r="AK88" s="56" t="str">
        <f>IF(AG88&gt;1000,"ACB","MCCB")</f>
        <v>ACB</v>
      </c>
      <c r="AL88" s="57">
        <f>_xlfn.XLOOKUP(AG88,'LOOKUP VALUES'!$D$1:$D$8,'LOOKUP VALUES'!$E$1:$E$8,,1,1)</f>
        <v>0.06</v>
      </c>
      <c r="AM88" s="56">
        <f>(AH88)/AL88</f>
        <v>348.64146690194798</v>
      </c>
      <c r="AN88" s="56">
        <f>_xlfn.XLOOKUP(AM88,'LOOKUP VALUES'!$H$2:$H$14,'LOOKUP VALUES'!$I$2:$I$14,,1,1)</f>
        <v>6</v>
      </c>
    </row>
    <row r="89" spans="2:40" ht="15.6" x14ac:dyDescent="0.35">
      <c r="B89" s="50"/>
      <c r="C89" s="56"/>
      <c r="D89" s="52" t="s">
        <v>130</v>
      </c>
      <c r="E89" s="52" t="s">
        <v>131</v>
      </c>
      <c r="F89" s="52" t="s">
        <v>124</v>
      </c>
      <c r="G89" s="52" t="s">
        <v>125</v>
      </c>
      <c r="H89" s="52" t="s">
        <v>126</v>
      </c>
      <c r="I89" s="52" t="s">
        <v>127</v>
      </c>
      <c r="J89" s="52" t="s">
        <v>128</v>
      </c>
      <c r="L89" s="50"/>
      <c r="M89" s="56"/>
      <c r="N89" s="52" t="s">
        <v>130</v>
      </c>
      <c r="O89" s="52" t="s">
        <v>131</v>
      </c>
      <c r="P89" s="52" t="s">
        <v>124</v>
      </c>
      <c r="Q89" s="52" t="s">
        <v>125</v>
      </c>
      <c r="R89" s="52" t="s">
        <v>126</v>
      </c>
      <c r="S89" s="52" t="s">
        <v>127</v>
      </c>
      <c r="T89" s="52" t="s">
        <v>128</v>
      </c>
      <c r="V89" s="50"/>
      <c r="W89" s="56"/>
      <c r="X89" s="52" t="s">
        <v>130</v>
      </c>
      <c r="Y89" s="52" t="s">
        <v>131</v>
      </c>
      <c r="Z89" s="52" t="s">
        <v>124</v>
      </c>
      <c r="AA89" s="52" t="s">
        <v>125</v>
      </c>
      <c r="AB89" s="52" t="s">
        <v>126</v>
      </c>
      <c r="AC89" s="52" t="s">
        <v>127</v>
      </c>
      <c r="AD89" s="52" t="s">
        <v>128</v>
      </c>
      <c r="AF89" s="50"/>
      <c r="AG89" s="56"/>
      <c r="AH89" s="52" t="s">
        <v>130</v>
      </c>
      <c r="AI89" s="52" t="s">
        <v>131</v>
      </c>
      <c r="AJ89" s="52" t="s">
        <v>124</v>
      </c>
      <c r="AK89" s="52" t="s">
        <v>125</v>
      </c>
      <c r="AL89" s="52" t="s">
        <v>126</v>
      </c>
      <c r="AM89" s="52" t="s">
        <v>127</v>
      </c>
      <c r="AN89" s="52" t="s">
        <v>128</v>
      </c>
    </row>
    <row r="90" spans="2:40" x14ac:dyDescent="0.3">
      <c r="B90" s="50"/>
      <c r="C90" s="56"/>
      <c r="D90" s="55">
        <f>(C88*1000)/(SQRT(3)*$C$3)</f>
        <v>753.06556850820755</v>
      </c>
      <c r="E90" s="55">
        <f>1.25*D90</f>
        <v>941.33196063525941</v>
      </c>
      <c r="F90" s="56">
        <f>_xlfn.XLOOKUP(E90,'LOOKUP VALUES'!$A$2:$A$30,'LOOKUP VALUES'!$B$2:$B$30,,1,1)</f>
        <v>1000</v>
      </c>
      <c r="G90" s="56" t="str">
        <f>IF(C88&gt;1000,"ACB","MCCB")</f>
        <v>MCCB</v>
      </c>
      <c r="H90" s="57">
        <f>_xlfn.XLOOKUP(C88,'LOOKUP VALUES'!$D$1:$D$8,'LOOKUP VALUES'!$E$1:$E$8,,1,1)</f>
        <v>0.04</v>
      </c>
      <c r="I90" s="56">
        <f>(D90)/H90</f>
        <v>18826.639212705188</v>
      </c>
      <c r="J90" s="56" t="str">
        <f>_xlfn.XLOOKUP(I90,'LOOKUP VALUES'!$H$2:$H$14,'LOOKUP VALUES'!$I$2:$I$14,,1,1)</f>
        <v>25-35</v>
      </c>
      <c r="L90" s="50"/>
      <c r="M90" s="56"/>
      <c r="N90" s="55">
        <f>(M88*1000)/(SQRT(3)*13200)</f>
        <v>87.477313513579659</v>
      </c>
      <c r="O90" s="55">
        <f>1.25*N90</f>
        <v>109.34664189197457</v>
      </c>
      <c r="P90" s="56">
        <f>_xlfn.XLOOKUP(O90,'LOOKUP VALUES'!$A$2:$A$30,'LOOKUP VALUES'!$B$2:$B$30,,1,1)</f>
        <v>110</v>
      </c>
      <c r="Q90" s="56" t="str">
        <f>IF(M88&gt;1000,"ACB","MCCB")</f>
        <v>ACB</v>
      </c>
      <c r="R90" s="57">
        <f>_xlfn.XLOOKUP(M88,'LOOKUP VALUES'!$D$1:$D$8,'LOOKUP VALUES'!$E$1:$E$8,,1,1)</f>
        <v>0.06</v>
      </c>
      <c r="S90" s="56">
        <f>(N90)/R90</f>
        <v>1457.9552252263277</v>
      </c>
      <c r="T90" s="56" t="str">
        <f>_xlfn.XLOOKUP(S90,'LOOKUP VALUES'!$H$2:$H$14,'LOOKUP VALUES'!$I$2:$I$14,,1,1)</f>
        <v>6-10</v>
      </c>
      <c r="V90" s="50"/>
      <c r="W90" s="56"/>
      <c r="X90" s="55">
        <f>(W88*1000)/(SQRT(3)*13200)</f>
        <v>109.34664189197458</v>
      </c>
      <c r="Y90" s="55">
        <f>1.25*X90</f>
        <v>136.68330236496823</v>
      </c>
      <c r="Z90" s="56">
        <f>_xlfn.XLOOKUP(Y90,'LOOKUP VALUES'!$A$2:$A$30,'LOOKUP VALUES'!$B$2:$B$30,,1,1)</f>
        <v>150</v>
      </c>
      <c r="AA90" s="56" t="str">
        <f>IF(W88&gt;1000,"ACB","MCCB")</f>
        <v>ACB</v>
      </c>
      <c r="AB90" s="57">
        <f>_xlfn.XLOOKUP(W88,'LOOKUP VALUES'!$D$1:$D$8,'LOOKUP VALUES'!$E$1:$E$8,,1,1)</f>
        <v>0.06</v>
      </c>
      <c r="AC90" s="56">
        <f>(X90)/AB90</f>
        <v>1822.4440315329098</v>
      </c>
      <c r="AD90" s="56" t="str">
        <f>_xlfn.XLOOKUP(AC90,'LOOKUP VALUES'!$H$2:$H$14,'LOOKUP VALUES'!$I$2:$I$14,,1,1)</f>
        <v>6-10</v>
      </c>
      <c r="AF90" s="50"/>
      <c r="AG90" s="56"/>
      <c r="AH90" s="55">
        <f>(AG88*1000)/(SQRT(3)*13200)</f>
        <v>109.34664189197458</v>
      </c>
      <c r="AI90" s="55">
        <f>1.25*AH90</f>
        <v>136.68330236496823</v>
      </c>
      <c r="AJ90" s="56">
        <f>_xlfn.XLOOKUP(AI90,'LOOKUP VALUES'!$A$2:$A$30,'LOOKUP VALUES'!$B$2:$B$30,,1,1)</f>
        <v>150</v>
      </c>
      <c r="AK90" s="56" t="str">
        <f>IF(AG88&gt;1000,"ACB","MCCB")</f>
        <v>ACB</v>
      </c>
      <c r="AL90" s="57">
        <f>_xlfn.XLOOKUP(AG88,'LOOKUP VALUES'!$D$1:$D$8,'LOOKUP VALUES'!$E$1:$E$8,,1,1)</f>
        <v>0.06</v>
      </c>
      <c r="AM90" s="56">
        <f>(AH90)/AL90</f>
        <v>1822.4440315329098</v>
      </c>
      <c r="AN90" s="56" t="str">
        <f>_xlfn.XLOOKUP(AM90,'LOOKUP VALUES'!$H$2:$H$14,'LOOKUP VALUES'!$I$2:$I$14,,1,1)</f>
        <v>6-10</v>
      </c>
    </row>
    <row r="91" spans="2:40" x14ac:dyDescent="0.3">
      <c r="B91" s="51"/>
      <c r="C91" s="50"/>
      <c r="D91" s="50"/>
      <c r="E91" s="50"/>
      <c r="F91" s="50"/>
      <c r="G91" s="50"/>
      <c r="H91" s="50"/>
      <c r="I91" s="50"/>
      <c r="J91" s="50"/>
      <c r="L91" s="12"/>
      <c r="V91" s="12"/>
      <c r="AF91" s="51"/>
      <c r="AG91" s="50"/>
      <c r="AH91" s="50"/>
      <c r="AI91" s="50"/>
      <c r="AJ91" s="50"/>
      <c r="AK91" s="50"/>
      <c r="AL91" s="50"/>
      <c r="AM91" s="50"/>
      <c r="AN91" s="50"/>
    </row>
    <row r="92" spans="2:40" ht="15.6" x14ac:dyDescent="0.35">
      <c r="B92" s="50"/>
      <c r="C92" s="52" t="s">
        <v>77</v>
      </c>
      <c r="D92" s="52" t="s">
        <v>122</v>
      </c>
      <c r="E92" s="52" t="s">
        <v>123</v>
      </c>
      <c r="F92" s="52" t="s">
        <v>124</v>
      </c>
      <c r="G92" s="52" t="s">
        <v>125</v>
      </c>
      <c r="H92" s="52" t="s">
        <v>126</v>
      </c>
      <c r="I92" s="52" t="s">
        <v>127</v>
      </c>
      <c r="J92" s="52" t="s">
        <v>128</v>
      </c>
      <c r="M92" s="24"/>
      <c r="N92" s="24"/>
      <c r="O92" s="24"/>
      <c r="P92" s="24"/>
      <c r="Q92" s="24"/>
      <c r="R92" s="24"/>
      <c r="S92" s="24"/>
      <c r="T92" s="24"/>
      <c r="W92" s="24"/>
      <c r="X92" s="24"/>
      <c r="Y92" s="24"/>
      <c r="Z92" s="24"/>
      <c r="AA92" s="24"/>
      <c r="AB92" s="24"/>
      <c r="AC92" s="24"/>
      <c r="AD92" s="24"/>
      <c r="AF92" s="50"/>
      <c r="AG92" s="52" t="s">
        <v>77</v>
      </c>
      <c r="AH92" s="52" t="s">
        <v>122</v>
      </c>
      <c r="AI92" s="52" t="s">
        <v>123</v>
      </c>
      <c r="AJ92" s="52" t="s">
        <v>124</v>
      </c>
      <c r="AK92" s="52" t="s">
        <v>125</v>
      </c>
      <c r="AL92" s="52" t="s">
        <v>126</v>
      </c>
      <c r="AM92" s="52" t="s">
        <v>127</v>
      </c>
      <c r="AN92" s="52" t="s">
        <v>128</v>
      </c>
    </row>
    <row r="93" spans="2:40" ht="15.6" x14ac:dyDescent="0.35">
      <c r="B93" s="53" t="s">
        <v>148</v>
      </c>
      <c r="C93" s="54">
        <f>'STUDY AREA 1'!Y142</f>
        <v>800</v>
      </c>
      <c r="D93" s="55">
        <f>(C93*1000)/(SQRT(3)*$C$2)</f>
        <v>1004.0874246776101</v>
      </c>
      <c r="E93" s="55">
        <f>1.25*D93</f>
        <v>1255.1092808470125</v>
      </c>
      <c r="F93" s="56">
        <f>_xlfn.XLOOKUP(E93,'LOOKUP VALUES'!$A$2:$A$30,'LOOKUP VALUES'!$B$2:$B$30,,1,1)</f>
        <v>1600</v>
      </c>
      <c r="G93" s="56" t="str">
        <f>IF(C93&gt;1000,"ACB","MCCB")</f>
        <v>MCCB</v>
      </c>
      <c r="H93" s="57">
        <f>_xlfn.XLOOKUP(C93,'LOOKUP VALUES'!$D$1:$D$8,'LOOKUP VALUES'!$E$1:$E$8,,1,1)</f>
        <v>0.06</v>
      </c>
      <c r="I93" s="56">
        <f>(D93)/H93</f>
        <v>16734.790411293503</v>
      </c>
      <c r="J93" s="56" t="str">
        <f>_xlfn.XLOOKUP(I93,'LOOKUP VALUES'!$H$2:$H$14,'LOOKUP VALUES'!$I$2:$I$14,,1,1)</f>
        <v>25-35</v>
      </c>
      <c r="L93" s="61"/>
      <c r="M93" s="14"/>
      <c r="N93" s="62"/>
      <c r="O93" s="62"/>
      <c r="P93" s="2"/>
      <c r="Q93" s="2"/>
      <c r="R93" s="63"/>
      <c r="S93" s="2"/>
      <c r="T93" s="2"/>
      <c r="V93" s="61"/>
      <c r="W93" s="14"/>
      <c r="X93" s="62"/>
      <c r="Y93" s="62"/>
      <c r="Z93" s="2"/>
      <c r="AA93" s="2"/>
      <c r="AB93" s="63"/>
      <c r="AC93" s="2"/>
      <c r="AD93" s="2"/>
      <c r="AF93" s="53" t="s">
        <v>150</v>
      </c>
      <c r="AG93" s="54">
        <f>'STUDY AREA 4'!Y56</f>
        <v>2500</v>
      </c>
      <c r="AH93" s="55">
        <f>(AG93*1000)/(SQRT(3)*69000)</f>
        <v>20.918488014116878</v>
      </c>
      <c r="AI93" s="55">
        <f>1.25*AH93</f>
        <v>26.148110017646097</v>
      </c>
      <c r="AJ93" s="56">
        <f>_xlfn.XLOOKUP(AI93,'LOOKUP VALUES'!$A$2:$A$30,'LOOKUP VALUES'!$B$2:$B$30,,1,1)</f>
        <v>70</v>
      </c>
      <c r="AK93" s="56" t="str">
        <f>IF(AG93&gt;1000,"ACB","MCCB")</f>
        <v>ACB</v>
      </c>
      <c r="AL93" s="57">
        <f>_xlfn.XLOOKUP(AG93,'LOOKUP VALUES'!$D$1:$D$8,'LOOKUP VALUES'!$E$1:$E$8,,1,1)</f>
        <v>0.06</v>
      </c>
      <c r="AM93" s="56">
        <f>(AH93)/AL93</f>
        <v>348.64146690194798</v>
      </c>
      <c r="AN93" s="56">
        <f>_xlfn.XLOOKUP(AM93,'LOOKUP VALUES'!$H$2:$H$14,'LOOKUP VALUES'!$I$2:$I$14,,1,1)</f>
        <v>6</v>
      </c>
    </row>
    <row r="94" spans="2:40" ht="15.6" x14ac:dyDescent="0.35">
      <c r="B94" s="50"/>
      <c r="C94" s="56"/>
      <c r="D94" s="52" t="s">
        <v>130</v>
      </c>
      <c r="E94" s="52" t="s">
        <v>131</v>
      </c>
      <c r="F94" s="52" t="s">
        <v>124</v>
      </c>
      <c r="G94" s="52" t="s">
        <v>125</v>
      </c>
      <c r="H94" s="52" t="s">
        <v>126</v>
      </c>
      <c r="I94" s="52" t="s">
        <v>127</v>
      </c>
      <c r="J94" s="52" t="s">
        <v>128</v>
      </c>
      <c r="M94" s="2"/>
      <c r="N94" s="24"/>
      <c r="O94" s="24"/>
      <c r="P94" s="24"/>
      <c r="Q94" s="24"/>
      <c r="R94" s="24"/>
      <c r="S94" s="24"/>
      <c r="T94" s="24"/>
      <c r="W94" s="2"/>
      <c r="X94" s="24"/>
      <c r="Y94" s="24"/>
      <c r="Z94" s="24"/>
      <c r="AA94" s="24"/>
      <c r="AB94" s="24"/>
      <c r="AC94" s="24"/>
      <c r="AD94" s="24"/>
      <c r="AF94" s="50"/>
      <c r="AG94" s="56"/>
      <c r="AH94" s="52" t="s">
        <v>130</v>
      </c>
      <c r="AI94" s="52" t="s">
        <v>131</v>
      </c>
      <c r="AJ94" s="52" t="s">
        <v>124</v>
      </c>
      <c r="AK94" s="52" t="s">
        <v>125</v>
      </c>
      <c r="AL94" s="52" t="s">
        <v>126</v>
      </c>
      <c r="AM94" s="52" t="s">
        <v>127</v>
      </c>
      <c r="AN94" s="52" t="s">
        <v>128</v>
      </c>
    </row>
    <row r="95" spans="2:40" x14ac:dyDescent="0.3">
      <c r="B95" s="50"/>
      <c r="C95" s="56"/>
      <c r="D95" s="55">
        <f>(C93*1000)/(SQRT(3)*$C$3)</f>
        <v>2008.1748493552202</v>
      </c>
      <c r="E95" s="55">
        <f>1.25*D95</f>
        <v>2510.2185616940251</v>
      </c>
      <c r="F95" s="56">
        <f>_xlfn.XLOOKUP(E95,'LOOKUP VALUES'!$A$2:$A$30,'LOOKUP VALUES'!$B$2:$B$30,,1,1)</f>
        <v>3000</v>
      </c>
      <c r="G95" s="56" t="str">
        <f>IF(C93&gt;1000,"ACB","MCCB")</f>
        <v>MCCB</v>
      </c>
      <c r="H95" s="57">
        <f>_xlfn.XLOOKUP(C93,'LOOKUP VALUES'!$D$1:$D$8,'LOOKUP VALUES'!$E$1:$E$8,,1,1)</f>
        <v>0.06</v>
      </c>
      <c r="I95" s="56">
        <f>(D95)/H95</f>
        <v>33469.580822587006</v>
      </c>
      <c r="J95" s="56" t="str">
        <f>_xlfn.XLOOKUP(I95,'LOOKUP VALUES'!$H$2:$H$14,'LOOKUP VALUES'!$I$2:$I$14,,1,1)</f>
        <v>60</v>
      </c>
      <c r="M95" s="2"/>
      <c r="N95" s="62"/>
      <c r="O95" s="62"/>
      <c r="P95" s="2"/>
      <c r="Q95" s="2"/>
      <c r="R95" s="63"/>
      <c r="S95" s="2"/>
      <c r="T95" s="2"/>
      <c r="W95" s="2"/>
      <c r="X95" s="62"/>
      <c r="Y95" s="62"/>
      <c r="Z95" s="2"/>
      <c r="AA95" s="2"/>
      <c r="AB95" s="63"/>
      <c r="AC95" s="2"/>
      <c r="AD95" s="2"/>
      <c r="AF95" s="50"/>
      <c r="AG95" s="56"/>
      <c r="AH95" s="55">
        <f>(AG93*1000)/(SQRT(3)*13200)</f>
        <v>109.34664189197458</v>
      </c>
      <c r="AI95" s="55">
        <f>1.25*AH95</f>
        <v>136.68330236496823</v>
      </c>
      <c r="AJ95" s="56">
        <f>_xlfn.XLOOKUP(AI95,'LOOKUP VALUES'!$A$2:$A$30,'LOOKUP VALUES'!$B$2:$B$30,,1,1)</f>
        <v>150</v>
      </c>
      <c r="AK95" s="56" t="str">
        <f>IF(AG93&gt;1000,"ACB","MCCB")</f>
        <v>ACB</v>
      </c>
      <c r="AL95" s="57">
        <f>_xlfn.XLOOKUP(AG93,'LOOKUP VALUES'!$D$1:$D$8,'LOOKUP VALUES'!$E$1:$E$8,,1,1)</f>
        <v>0.06</v>
      </c>
      <c r="AM95" s="56">
        <f>(AH95)/AL95</f>
        <v>1822.4440315329098</v>
      </c>
      <c r="AN95" s="56" t="str">
        <f>_xlfn.XLOOKUP(AM95,'LOOKUP VALUES'!$H$2:$H$14,'LOOKUP VALUES'!$I$2:$I$14,,1,1)</f>
        <v>6-10</v>
      </c>
    </row>
    <row r="96" spans="2:40" x14ac:dyDescent="0.3">
      <c r="B96" s="50"/>
      <c r="C96" s="50"/>
      <c r="D96" s="50"/>
      <c r="E96" s="50"/>
      <c r="F96" s="50"/>
      <c r="G96" s="50"/>
      <c r="H96" s="50"/>
      <c r="I96" s="50"/>
      <c r="J96" s="50"/>
    </row>
    <row r="97" spans="2:40" ht="15.6" x14ac:dyDescent="0.35">
      <c r="B97" s="50"/>
      <c r="C97" s="52" t="s">
        <v>77</v>
      </c>
      <c r="D97" s="52" t="s">
        <v>122</v>
      </c>
      <c r="E97" s="52" t="s">
        <v>123</v>
      </c>
      <c r="F97" s="52" t="s">
        <v>124</v>
      </c>
      <c r="G97" s="52" t="s">
        <v>125</v>
      </c>
      <c r="H97" s="52" t="s">
        <v>126</v>
      </c>
      <c r="I97" s="52" t="s">
        <v>127</v>
      </c>
      <c r="J97" s="52" t="s">
        <v>128</v>
      </c>
      <c r="M97" s="24"/>
      <c r="N97" s="24"/>
      <c r="O97" s="24"/>
      <c r="P97" s="24"/>
      <c r="Q97" s="24"/>
      <c r="R97" s="24"/>
      <c r="S97" s="24"/>
      <c r="T97" s="24"/>
      <c r="W97" s="24"/>
      <c r="X97" s="24"/>
      <c r="Y97" s="24"/>
      <c r="Z97" s="24"/>
      <c r="AA97" s="24"/>
      <c r="AB97" s="24"/>
      <c r="AC97" s="24"/>
      <c r="AD97" s="24"/>
      <c r="AG97" s="24"/>
      <c r="AH97" s="24"/>
      <c r="AI97" s="24"/>
      <c r="AJ97" s="24"/>
      <c r="AK97" s="24"/>
      <c r="AL97" s="24"/>
      <c r="AM97" s="24"/>
      <c r="AN97" s="24"/>
    </row>
    <row r="98" spans="2:40" ht="15.6" x14ac:dyDescent="0.35">
      <c r="B98" s="53" t="s">
        <v>149</v>
      </c>
      <c r="C98" s="54">
        <f>'STUDY AREA 1'!Y23</f>
        <v>2000</v>
      </c>
      <c r="D98" s="55">
        <f>(C98*1000)/(SQRT(3)*69000)</f>
        <v>16.734790411293503</v>
      </c>
      <c r="E98" s="55">
        <f>1.25*D98</f>
        <v>20.918488014116878</v>
      </c>
      <c r="F98" s="56">
        <f>_xlfn.XLOOKUP(E98,'LOOKUP VALUES'!$A$2:$A$30,'LOOKUP VALUES'!$B$2:$B$30,,1,1)</f>
        <v>70</v>
      </c>
      <c r="G98" s="56" t="str">
        <f>IF(C98&gt;1000,"ACB","MCCB")</f>
        <v>ACB</v>
      </c>
      <c r="H98" s="57">
        <f>_xlfn.XLOOKUP(C98,'LOOKUP VALUES'!$D$1:$D$8,'LOOKUP VALUES'!$E$1:$E$8,,1,1)</f>
        <v>0.06</v>
      </c>
      <c r="I98" s="56">
        <f>(D98)/H98</f>
        <v>278.91317352155841</v>
      </c>
      <c r="J98" s="56">
        <f>_xlfn.XLOOKUP(I98,'LOOKUP VALUES'!$H$2:$H$14,'LOOKUP VALUES'!$I$2:$I$14,,1,1)</f>
        <v>6</v>
      </c>
      <c r="L98" s="61"/>
      <c r="M98" s="14"/>
      <c r="N98" s="62"/>
      <c r="O98" s="62"/>
      <c r="P98" s="2"/>
      <c r="Q98" s="2"/>
      <c r="R98" s="63"/>
      <c r="S98" s="2"/>
      <c r="T98" s="2"/>
      <c r="V98" s="61"/>
      <c r="W98" s="14"/>
      <c r="X98" s="62"/>
      <c r="Y98" s="62"/>
      <c r="Z98" s="2"/>
      <c r="AA98" s="2"/>
      <c r="AB98" s="63"/>
      <c r="AC98" s="2"/>
      <c r="AD98" s="2"/>
      <c r="AF98" s="61"/>
      <c r="AG98" s="14"/>
      <c r="AH98" s="62"/>
      <c r="AI98" s="62"/>
      <c r="AJ98" s="2"/>
      <c r="AK98" s="2"/>
      <c r="AL98" s="63"/>
      <c r="AM98" s="2"/>
      <c r="AN98" s="2"/>
    </row>
    <row r="99" spans="2:40" ht="15.6" x14ac:dyDescent="0.35">
      <c r="B99" s="50"/>
      <c r="C99" s="56"/>
      <c r="D99" s="52" t="s">
        <v>130</v>
      </c>
      <c r="E99" s="52" t="s">
        <v>131</v>
      </c>
      <c r="F99" s="52" t="s">
        <v>124</v>
      </c>
      <c r="G99" s="52" t="s">
        <v>125</v>
      </c>
      <c r="H99" s="52" t="s">
        <v>126</v>
      </c>
      <c r="I99" s="52" t="s">
        <v>127</v>
      </c>
      <c r="J99" s="52" t="s">
        <v>128</v>
      </c>
      <c r="M99" s="2"/>
      <c r="N99" s="24"/>
      <c r="O99" s="24"/>
      <c r="P99" s="24"/>
      <c r="Q99" s="24"/>
      <c r="R99" s="24"/>
      <c r="S99" s="24"/>
      <c r="T99" s="24"/>
      <c r="W99" s="2"/>
      <c r="X99" s="24"/>
      <c r="Y99" s="24"/>
      <c r="Z99" s="24"/>
      <c r="AA99" s="24"/>
      <c r="AB99" s="24"/>
      <c r="AC99" s="24"/>
      <c r="AD99" s="24"/>
      <c r="AG99" s="2"/>
      <c r="AH99" s="24"/>
      <c r="AI99" s="24"/>
      <c r="AJ99" s="24"/>
      <c r="AK99" s="24"/>
      <c r="AL99" s="24"/>
      <c r="AM99" s="24"/>
      <c r="AN99" s="24"/>
    </row>
    <row r="100" spans="2:40" x14ac:dyDescent="0.3">
      <c r="B100" s="50"/>
      <c r="C100" s="56"/>
      <c r="D100" s="55">
        <f>(C98*1000)/(SQRT(3)*13200)</f>
        <v>87.477313513579659</v>
      </c>
      <c r="E100" s="55">
        <f>1.25*D100</f>
        <v>109.34664189197457</v>
      </c>
      <c r="F100" s="56">
        <f>_xlfn.XLOOKUP(E100,'LOOKUP VALUES'!$A$2:$A$30,'LOOKUP VALUES'!$B$2:$B$30,,1,1)</f>
        <v>110</v>
      </c>
      <c r="G100" s="56" t="str">
        <f>IF(C98&gt;1000,"ACB","MCCB")</f>
        <v>ACB</v>
      </c>
      <c r="H100" s="57">
        <f>_xlfn.XLOOKUP(C98,'LOOKUP VALUES'!$D$1:$D$8,'LOOKUP VALUES'!$E$1:$E$8,,1,1)</f>
        <v>0.06</v>
      </c>
      <c r="I100" s="56">
        <f>(D100)/H100</f>
        <v>1457.9552252263277</v>
      </c>
      <c r="J100" s="56" t="str">
        <f>_xlfn.XLOOKUP(I100,'LOOKUP VALUES'!$H$2:$H$14,'LOOKUP VALUES'!$I$2:$I$14,,1,1)</f>
        <v>6-10</v>
      </c>
      <c r="M100" s="2"/>
      <c r="N100" s="62"/>
      <c r="O100" s="62"/>
      <c r="P100" s="2"/>
      <c r="Q100" s="2"/>
      <c r="R100" s="63"/>
      <c r="S100" s="2"/>
      <c r="T100" s="2"/>
      <c r="W100" s="2"/>
      <c r="X100" s="62"/>
      <c r="Y100" s="62"/>
      <c r="Z100" s="2"/>
      <c r="AA100" s="2"/>
      <c r="AB100" s="63"/>
      <c r="AC100" s="2"/>
      <c r="AD100" s="2"/>
      <c r="AG100" s="2"/>
      <c r="AH100" s="62"/>
      <c r="AI100" s="62"/>
      <c r="AJ100" s="2"/>
      <c r="AK100" s="2"/>
      <c r="AL100" s="63"/>
      <c r="AM100" s="2"/>
      <c r="AN100" s="2"/>
    </row>
    <row r="101" spans="2:40" x14ac:dyDescent="0.3">
      <c r="B101" s="51"/>
      <c r="C101" s="50"/>
      <c r="D101" s="50"/>
      <c r="E101" s="50"/>
      <c r="F101" s="50"/>
      <c r="G101" s="50"/>
      <c r="H101" s="50"/>
      <c r="I101" s="50"/>
      <c r="J101" s="50"/>
      <c r="L101" s="12"/>
      <c r="V101" s="12"/>
      <c r="AF101" s="12"/>
    </row>
    <row r="102" spans="2:40" ht="15.6" x14ac:dyDescent="0.35">
      <c r="B102" s="50"/>
      <c r="C102" s="52" t="s">
        <v>77</v>
      </c>
      <c r="D102" s="52" t="s">
        <v>122</v>
      </c>
      <c r="E102" s="52" t="s">
        <v>123</v>
      </c>
      <c r="F102" s="52" t="s">
        <v>124</v>
      </c>
      <c r="G102" s="52" t="s">
        <v>125</v>
      </c>
      <c r="H102" s="52" t="s">
        <v>126</v>
      </c>
      <c r="I102" s="52" t="s">
        <v>127</v>
      </c>
      <c r="J102" s="52" t="s">
        <v>128</v>
      </c>
      <c r="M102" s="24"/>
      <c r="N102" s="24"/>
      <c r="O102" s="24"/>
      <c r="P102" s="24"/>
      <c r="Q102" s="24"/>
      <c r="R102" s="24"/>
      <c r="S102" s="24"/>
      <c r="T102" s="24"/>
      <c r="W102" s="24"/>
      <c r="X102" s="24"/>
      <c r="Y102" s="24"/>
      <c r="Z102" s="24"/>
      <c r="AA102" s="24"/>
      <c r="AB102" s="24"/>
      <c r="AC102" s="24"/>
      <c r="AD102" s="24"/>
      <c r="AG102" s="24"/>
      <c r="AH102" s="24"/>
      <c r="AI102" s="24"/>
      <c r="AJ102" s="24"/>
      <c r="AK102" s="24"/>
      <c r="AL102" s="24"/>
      <c r="AM102" s="24"/>
      <c r="AN102" s="24"/>
    </row>
    <row r="103" spans="2:40" ht="15.6" x14ac:dyDescent="0.35">
      <c r="B103" s="53" t="s">
        <v>150</v>
      </c>
      <c r="C103" s="54">
        <f>'STUDY AREA 1'!Y64</f>
        <v>1600</v>
      </c>
      <c r="D103" s="55">
        <f>(C103*1000)/(SQRT(3)*69000)</f>
        <v>13.387832329034802</v>
      </c>
      <c r="E103" s="55">
        <f>1.25*D103</f>
        <v>16.734790411293503</v>
      </c>
      <c r="F103" s="56">
        <f>_xlfn.XLOOKUP(E103,'LOOKUP VALUES'!$A$2:$A$30,'LOOKUP VALUES'!$B$2:$B$30,,1,1)</f>
        <v>70</v>
      </c>
      <c r="G103" s="56" t="str">
        <f>IF(C103&gt;1000,"ACB","MCCB")</f>
        <v>ACB</v>
      </c>
      <c r="H103" s="57">
        <f>_xlfn.XLOOKUP(C103,'LOOKUP VALUES'!$D$1:$D$8,'LOOKUP VALUES'!$E$1:$E$8,,1,1)</f>
        <v>0.06</v>
      </c>
      <c r="I103" s="56">
        <f>(D103)/H103</f>
        <v>223.1305388172467</v>
      </c>
      <c r="J103" s="56">
        <f>_xlfn.XLOOKUP(I103,'LOOKUP VALUES'!$H$2:$H$14,'LOOKUP VALUES'!$I$2:$I$14,,1,1)</f>
        <v>6</v>
      </c>
      <c r="L103" s="61"/>
      <c r="M103" s="14"/>
      <c r="N103" s="62"/>
      <c r="O103" s="62"/>
      <c r="P103" s="2"/>
      <c r="Q103" s="2"/>
      <c r="R103" s="63"/>
      <c r="S103" s="2"/>
      <c r="T103" s="2"/>
      <c r="V103" s="61"/>
      <c r="W103" s="14"/>
      <c r="X103" s="62"/>
      <c r="Y103" s="62"/>
      <c r="Z103" s="2"/>
      <c r="AA103" s="2"/>
      <c r="AB103" s="63"/>
      <c r="AC103" s="2"/>
      <c r="AD103" s="2"/>
      <c r="AF103" s="61"/>
      <c r="AG103" s="14"/>
      <c r="AH103" s="62"/>
      <c r="AI103" s="62"/>
      <c r="AJ103" s="2"/>
      <c r="AK103" s="2"/>
      <c r="AL103" s="63"/>
      <c r="AM103" s="2"/>
      <c r="AN103" s="2"/>
    </row>
    <row r="104" spans="2:40" ht="15.6" x14ac:dyDescent="0.35">
      <c r="B104" s="50"/>
      <c r="C104" s="56"/>
      <c r="D104" s="52" t="s">
        <v>130</v>
      </c>
      <c r="E104" s="52" t="s">
        <v>131</v>
      </c>
      <c r="F104" s="52" t="s">
        <v>124</v>
      </c>
      <c r="G104" s="52" t="s">
        <v>125</v>
      </c>
      <c r="H104" s="52" t="s">
        <v>126</v>
      </c>
      <c r="I104" s="52" t="s">
        <v>127</v>
      </c>
      <c r="J104" s="52" t="s">
        <v>128</v>
      </c>
      <c r="M104" s="2"/>
      <c r="N104" s="24"/>
      <c r="O104" s="24"/>
      <c r="P104" s="24"/>
      <c r="Q104" s="24"/>
      <c r="R104" s="24"/>
      <c r="S104" s="24"/>
      <c r="T104" s="24"/>
      <c r="W104" s="2"/>
      <c r="X104" s="24"/>
      <c r="Y104" s="24"/>
      <c r="Z104" s="24"/>
      <c r="AA104" s="24"/>
      <c r="AB104" s="24"/>
      <c r="AC104" s="24"/>
      <c r="AD104" s="24"/>
      <c r="AG104" s="2"/>
      <c r="AH104" s="24"/>
      <c r="AI104" s="24"/>
      <c r="AJ104" s="24"/>
      <c r="AK104" s="24"/>
      <c r="AL104" s="24"/>
      <c r="AM104" s="24"/>
      <c r="AN104" s="24"/>
    </row>
    <row r="105" spans="2:40" x14ac:dyDescent="0.3">
      <c r="B105" s="50"/>
      <c r="C105" s="56"/>
      <c r="D105" s="55">
        <f>(C103*1000)/(SQRT(3)*13200)</f>
        <v>69.981850810863733</v>
      </c>
      <c r="E105" s="55">
        <f>1.25*D105</f>
        <v>87.477313513579674</v>
      </c>
      <c r="F105" s="56">
        <f>_xlfn.XLOOKUP(E105,'LOOKUP VALUES'!$A$2:$A$30,'LOOKUP VALUES'!$B$2:$B$30,,1,1)</f>
        <v>90</v>
      </c>
      <c r="G105" s="56" t="str">
        <f>IF(C103&gt;1000,"ACB","MCCB")</f>
        <v>ACB</v>
      </c>
      <c r="H105" s="57">
        <f>_xlfn.XLOOKUP(C103,'LOOKUP VALUES'!$D$1:$D$8,'LOOKUP VALUES'!$E$1:$E$8,,1,1)</f>
        <v>0.06</v>
      </c>
      <c r="I105" s="56">
        <f>(D105)/H105</f>
        <v>1166.3641801810622</v>
      </c>
      <c r="J105" s="56">
        <f>_xlfn.XLOOKUP(I105,'LOOKUP VALUES'!$H$2:$H$14,'LOOKUP VALUES'!$I$2:$I$14,,1,1)</f>
        <v>6</v>
      </c>
      <c r="M105" s="2"/>
      <c r="N105" s="62"/>
      <c r="O105" s="62"/>
      <c r="P105" s="2"/>
      <c r="Q105" s="2"/>
      <c r="R105" s="63"/>
      <c r="S105" s="2"/>
      <c r="T105" s="2"/>
      <c r="W105" s="2"/>
      <c r="X105" s="62"/>
      <c r="Y105" s="62"/>
      <c r="Z105" s="2"/>
      <c r="AA105" s="2"/>
      <c r="AB105" s="63"/>
      <c r="AC105" s="2"/>
      <c r="AD105" s="2"/>
      <c r="AG105" s="2"/>
      <c r="AH105" s="62"/>
      <c r="AI105" s="62"/>
      <c r="AJ105" s="2"/>
      <c r="AK105" s="2"/>
      <c r="AL105" s="63"/>
      <c r="AM105" s="2"/>
      <c r="AN105" s="2"/>
    </row>
    <row r="106" spans="2:40" x14ac:dyDescent="0.3">
      <c r="B106" s="12"/>
    </row>
    <row r="107" spans="2:40" x14ac:dyDescent="0.3">
      <c r="B107" s="12"/>
    </row>
    <row r="108" spans="2:40" x14ac:dyDescent="0.3">
      <c r="B108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C8AB-54FA-4265-B131-9E751FEB744F}">
  <dimension ref="A1:I50"/>
  <sheetViews>
    <sheetView zoomScale="85" zoomScaleNormal="85" workbookViewId="0">
      <selection activeCell="I45" sqref="I45"/>
    </sheetView>
  </sheetViews>
  <sheetFormatPr defaultRowHeight="14.4" x14ac:dyDescent="0.3"/>
  <cols>
    <col min="1" max="1" width="19.6640625" bestFit="1" customWidth="1"/>
    <col min="3" max="3" width="19.77734375" bestFit="1" customWidth="1"/>
    <col min="4" max="4" width="11" bestFit="1" customWidth="1"/>
  </cols>
  <sheetData>
    <row r="1" spans="1:9" x14ac:dyDescent="0.3">
      <c r="D1">
        <v>100</v>
      </c>
      <c r="E1" s="26">
        <v>0.04</v>
      </c>
      <c r="H1" s="28"/>
    </row>
    <row r="2" spans="1:9" x14ac:dyDescent="0.3">
      <c r="A2">
        <v>70</v>
      </c>
      <c r="B2">
        <v>70</v>
      </c>
      <c r="D2">
        <v>300</v>
      </c>
      <c r="E2" s="26">
        <v>0.04</v>
      </c>
      <c r="G2">
        <v>0.25</v>
      </c>
      <c r="H2" s="28">
        <f>G2*1000</f>
        <v>250</v>
      </c>
      <c r="I2" s="27">
        <v>6</v>
      </c>
    </row>
    <row r="3" spans="1:9" x14ac:dyDescent="0.3">
      <c r="A3">
        <v>80</v>
      </c>
      <c r="B3">
        <v>80</v>
      </c>
      <c r="D3">
        <v>600</v>
      </c>
      <c r="E3" s="26">
        <v>0.05</v>
      </c>
      <c r="G3">
        <v>1.25</v>
      </c>
      <c r="H3" s="28">
        <f t="shared" ref="H3:H14" si="0">G3*1000</f>
        <v>1250</v>
      </c>
      <c r="I3" s="27">
        <v>6</v>
      </c>
    </row>
    <row r="4" spans="1:9" x14ac:dyDescent="0.3">
      <c r="A4">
        <v>90</v>
      </c>
      <c r="B4">
        <v>90</v>
      </c>
      <c r="D4">
        <v>2500</v>
      </c>
      <c r="E4" s="26">
        <v>0.06</v>
      </c>
      <c r="G4">
        <v>3.75</v>
      </c>
      <c r="H4" s="28">
        <f t="shared" si="0"/>
        <v>3750</v>
      </c>
      <c r="I4" s="27" t="s">
        <v>156</v>
      </c>
    </row>
    <row r="5" spans="1:9" x14ac:dyDescent="0.3">
      <c r="A5">
        <v>100</v>
      </c>
      <c r="B5">
        <v>100</v>
      </c>
      <c r="D5">
        <v>5000</v>
      </c>
      <c r="E5" s="26">
        <v>6.5000000000000002E-2</v>
      </c>
      <c r="G5">
        <v>7.5</v>
      </c>
      <c r="H5" s="28">
        <f t="shared" si="0"/>
        <v>7500</v>
      </c>
      <c r="I5" s="27">
        <v>10</v>
      </c>
    </row>
    <row r="6" spans="1:9" x14ac:dyDescent="0.3">
      <c r="A6">
        <v>110</v>
      </c>
      <c r="B6">
        <v>110</v>
      </c>
      <c r="D6">
        <v>7500</v>
      </c>
      <c r="E6" s="26">
        <v>7.4999999999999997E-2</v>
      </c>
      <c r="G6">
        <v>12.5</v>
      </c>
      <c r="H6" s="28">
        <f t="shared" si="0"/>
        <v>12500</v>
      </c>
      <c r="I6" s="27" t="s">
        <v>157</v>
      </c>
    </row>
    <row r="7" spans="1:9" x14ac:dyDescent="0.3">
      <c r="A7">
        <v>125</v>
      </c>
      <c r="B7">
        <v>125</v>
      </c>
      <c r="D7">
        <v>10000</v>
      </c>
      <c r="E7" s="26">
        <v>8.5000000000000006E-2</v>
      </c>
      <c r="G7">
        <v>25</v>
      </c>
      <c r="H7" s="28">
        <f t="shared" si="0"/>
        <v>25000</v>
      </c>
      <c r="I7" s="27" t="s">
        <v>158</v>
      </c>
    </row>
    <row r="8" spans="1:9" x14ac:dyDescent="0.3">
      <c r="A8">
        <v>150</v>
      </c>
      <c r="B8">
        <v>150</v>
      </c>
      <c r="D8">
        <v>1000000000</v>
      </c>
      <c r="E8" s="26">
        <v>9.5000000000000001E-2</v>
      </c>
      <c r="G8">
        <v>50</v>
      </c>
      <c r="H8" s="28">
        <f t="shared" si="0"/>
        <v>50000</v>
      </c>
      <c r="I8" s="27" t="s">
        <v>159</v>
      </c>
    </row>
    <row r="9" spans="1:9" x14ac:dyDescent="0.3">
      <c r="A9">
        <v>175</v>
      </c>
      <c r="B9">
        <v>175</v>
      </c>
      <c r="G9">
        <v>81.25</v>
      </c>
      <c r="H9" s="28">
        <f t="shared" si="0"/>
        <v>81250</v>
      </c>
      <c r="I9" s="27" t="s">
        <v>160</v>
      </c>
    </row>
    <row r="10" spans="1:9" x14ac:dyDescent="0.3">
      <c r="A10">
        <v>200</v>
      </c>
      <c r="B10">
        <v>200</v>
      </c>
      <c r="G10">
        <v>106.25</v>
      </c>
      <c r="H10" s="28">
        <f t="shared" si="0"/>
        <v>106250</v>
      </c>
      <c r="I10" s="27" t="s">
        <v>161</v>
      </c>
    </row>
    <row r="11" spans="1:9" x14ac:dyDescent="0.3">
      <c r="A11">
        <v>225</v>
      </c>
      <c r="B11">
        <v>225</v>
      </c>
      <c r="G11">
        <v>125</v>
      </c>
      <c r="H11" s="28">
        <f t="shared" si="0"/>
        <v>125000</v>
      </c>
      <c r="I11" s="27" t="s">
        <v>162</v>
      </c>
    </row>
    <row r="12" spans="1:9" x14ac:dyDescent="0.3">
      <c r="A12">
        <v>250</v>
      </c>
      <c r="B12">
        <v>250</v>
      </c>
      <c r="G12">
        <v>156.25</v>
      </c>
      <c r="H12" s="28">
        <f t="shared" si="0"/>
        <v>156250</v>
      </c>
      <c r="I12" s="27" t="s">
        <v>163</v>
      </c>
    </row>
    <row r="13" spans="1:9" x14ac:dyDescent="0.3">
      <c r="A13">
        <v>300</v>
      </c>
      <c r="B13">
        <v>300</v>
      </c>
      <c r="G13">
        <v>187.5</v>
      </c>
      <c r="H13" s="28">
        <f t="shared" si="0"/>
        <v>187500</v>
      </c>
      <c r="I13" s="27" t="s">
        <v>164</v>
      </c>
    </row>
    <row r="14" spans="1:9" x14ac:dyDescent="0.3">
      <c r="A14">
        <v>350</v>
      </c>
      <c r="B14">
        <v>350</v>
      </c>
      <c r="G14">
        <v>250</v>
      </c>
      <c r="H14" s="28">
        <f t="shared" si="0"/>
        <v>250000</v>
      </c>
      <c r="I14" s="27" t="s">
        <v>165</v>
      </c>
    </row>
    <row r="15" spans="1:9" x14ac:dyDescent="0.3">
      <c r="A15">
        <v>400</v>
      </c>
      <c r="B15">
        <v>400</v>
      </c>
      <c r="H15" s="28"/>
    </row>
    <row r="16" spans="1:9" x14ac:dyDescent="0.3">
      <c r="A16">
        <v>450</v>
      </c>
      <c r="B16">
        <v>450</v>
      </c>
    </row>
    <row r="17" spans="1:3" x14ac:dyDescent="0.3">
      <c r="A17">
        <v>500</v>
      </c>
      <c r="B17">
        <v>500</v>
      </c>
    </row>
    <row r="18" spans="1:3" x14ac:dyDescent="0.3">
      <c r="A18">
        <v>600</v>
      </c>
      <c r="B18">
        <v>600</v>
      </c>
    </row>
    <row r="19" spans="1:3" x14ac:dyDescent="0.3">
      <c r="A19">
        <v>700</v>
      </c>
      <c r="B19">
        <v>700</v>
      </c>
    </row>
    <row r="20" spans="1:3" x14ac:dyDescent="0.3">
      <c r="A20">
        <v>800</v>
      </c>
      <c r="B20">
        <v>800</v>
      </c>
    </row>
    <row r="21" spans="1:3" x14ac:dyDescent="0.3">
      <c r="A21">
        <v>900</v>
      </c>
      <c r="B21">
        <v>900</v>
      </c>
    </row>
    <row r="22" spans="1:3" x14ac:dyDescent="0.3">
      <c r="A22">
        <v>1000</v>
      </c>
      <c r="B22">
        <v>1000</v>
      </c>
    </row>
    <row r="23" spans="1:3" x14ac:dyDescent="0.3">
      <c r="A23">
        <v>1200</v>
      </c>
      <c r="B23">
        <v>1200</v>
      </c>
    </row>
    <row r="24" spans="1:3" x14ac:dyDescent="0.3">
      <c r="A24">
        <v>1600</v>
      </c>
      <c r="B24">
        <v>1600</v>
      </c>
    </row>
    <row r="25" spans="1:3" x14ac:dyDescent="0.3">
      <c r="A25">
        <v>2000</v>
      </c>
      <c r="B25">
        <v>2000</v>
      </c>
    </row>
    <row r="26" spans="1:3" x14ac:dyDescent="0.3">
      <c r="A26">
        <v>2500</v>
      </c>
      <c r="B26">
        <v>2500</v>
      </c>
    </row>
    <row r="27" spans="1:3" x14ac:dyDescent="0.3">
      <c r="A27">
        <v>3000</v>
      </c>
      <c r="B27">
        <v>3000</v>
      </c>
    </row>
    <row r="28" spans="1:3" x14ac:dyDescent="0.3">
      <c r="A28">
        <v>4000</v>
      </c>
      <c r="B28">
        <v>4000</v>
      </c>
    </row>
    <row r="29" spans="1:3" x14ac:dyDescent="0.3">
      <c r="A29">
        <v>5000</v>
      </c>
      <c r="B29">
        <v>5000</v>
      </c>
    </row>
    <row r="30" spans="1:3" x14ac:dyDescent="0.3">
      <c r="A30">
        <v>6000</v>
      </c>
      <c r="B30">
        <v>6000</v>
      </c>
    </row>
    <row r="32" spans="1:3" x14ac:dyDescent="0.3">
      <c r="A32" t="s">
        <v>172</v>
      </c>
      <c r="C32" t="str">
        <f t="shared" ref="C32:C49" si="1">PROPER(A33)</f>
        <v>Base Load</v>
      </c>
    </row>
    <row r="33" spans="1:3" x14ac:dyDescent="0.3">
      <c r="A33" t="s">
        <v>100</v>
      </c>
      <c r="C33" t="str">
        <f t="shared" si="1"/>
        <v>Capacity Factor</v>
      </c>
    </row>
    <row r="34" spans="1:3" x14ac:dyDescent="0.3">
      <c r="A34" t="s">
        <v>101</v>
      </c>
      <c r="C34" t="str">
        <f t="shared" si="1"/>
        <v>Connecting Load</v>
      </c>
    </row>
    <row r="35" spans="1:3" x14ac:dyDescent="0.3">
      <c r="A35" t="s">
        <v>102</v>
      </c>
      <c r="C35" t="str">
        <f t="shared" si="1"/>
        <v>Demand Factor</v>
      </c>
    </row>
    <row r="36" spans="1:3" x14ac:dyDescent="0.3">
      <c r="A36" t="s">
        <v>103</v>
      </c>
      <c r="C36" t="str">
        <f t="shared" si="1"/>
        <v>Diversity Factor</v>
      </c>
    </row>
    <row r="37" spans="1:3" x14ac:dyDescent="0.3">
      <c r="A37" t="s">
        <v>104</v>
      </c>
      <c r="C37" t="str">
        <f t="shared" si="1"/>
        <v>Geographic Location</v>
      </c>
    </row>
    <row r="38" spans="1:3" x14ac:dyDescent="0.3">
      <c r="A38" t="s">
        <v>105</v>
      </c>
      <c r="C38" t="str">
        <f t="shared" si="1"/>
        <v>Load Curve</v>
      </c>
    </row>
    <row r="39" spans="1:3" x14ac:dyDescent="0.3">
      <c r="A39" t="s">
        <v>106</v>
      </c>
      <c r="C39" t="str">
        <f t="shared" si="1"/>
        <v>Load Estimation</v>
      </c>
    </row>
    <row r="40" spans="1:3" x14ac:dyDescent="0.3">
      <c r="A40" t="s">
        <v>107</v>
      </c>
      <c r="C40" t="str">
        <f t="shared" si="1"/>
        <v>Load Factor</v>
      </c>
    </row>
    <row r="41" spans="1:3" x14ac:dyDescent="0.3">
      <c r="A41" t="s">
        <v>108</v>
      </c>
      <c r="C41" t="str">
        <f t="shared" si="1"/>
        <v>Maximum Demand</v>
      </c>
    </row>
    <row r="42" spans="1:3" x14ac:dyDescent="0.3">
      <c r="A42" t="s">
        <v>109</v>
      </c>
      <c r="C42" t="str">
        <f t="shared" si="1"/>
        <v>Motor Efficiency</v>
      </c>
    </row>
    <row r="43" spans="1:3" x14ac:dyDescent="0.3">
      <c r="A43" t="s">
        <v>110</v>
      </c>
      <c r="C43" t="str">
        <f t="shared" si="1"/>
        <v>Peak Load</v>
      </c>
    </row>
    <row r="44" spans="1:3" x14ac:dyDescent="0.3">
      <c r="A44" t="s">
        <v>111</v>
      </c>
      <c r="C44" t="str">
        <f t="shared" si="1"/>
        <v>Percentage Impedance</v>
      </c>
    </row>
    <row r="45" spans="1:3" x14ac:dyDescent="0.3">
      <c r="A45" t="s">
        <v>112</v>
      </c>
      <c r="C45" t="str">
        <f t="shared" si="1"/>
        <v>Plan Use Factor</v>
      </c>
    </row>
    <row r="46" spans="1:3" x14ac:dyDescent="0.3">
      <c r="A46" t="s">
        <v>113</v>
      </c>
      <c r="C46" t="str">
        <f t="shared" si="1"/>
        <v>Power Load</v>
      </c>
    </row>
    <row r="47" spans="1:3" x14ac:dyDescent="0.3">
      <c r="A47" t="s">
        <v>114</v>
      </c>
      <c r="C47" t="str">
        <f t="shared" si="1"/>
        <v>Power Plant</v>
      </c>
    </row>
    <row r="48" spans="1:3" x14ac:dyDescent="0.3">
      <c r="A48" t="s">
        <v>115</v>
      </c>
      <c r="C48" t="str">
        <f t="shared" si="1"/>
        <v>Substation</v>
      </c>
    </row>
    <row r="49" spans="1:3" x14ac:dyDescent="0.3">
      <c r="A49" t="s">
        <v>116</v>
      </c>
      <c r="C49" t="str">
        <f t="shared" si="1"/>
        <v>Transformer</v>
      </c>
    </row>
    <row r="50" spans="1:3" x14ac:dyDescent="0.3">
      <c r="A50" t="s">
        <v>117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D8DC8E6-F53A-4516-B3B4-1726F7871E31}">
  <ds:schemaRefs/>
</ds:datastoreItem>
</file>

<file path=customXml/itemProps2.xml><?xml version="1.0" encoding="utf-8"?>
<ds:datastoreItem xmlns:ds="http://schemas.openxmlformats.org/officeDocument/2006/customXml" ds:itemID="{C368BC8B-4A6F-474D-AEB7-579BA6F79EF3}">
  <ds:schemaRefs/>
</ds:datastoreItem>
</file>

<file path=customXml/itemProps3.xml><?xml version="1.0" encoding="utf-8"?>
<ds:datastoreItem xmlns:ds="http://schemas.openxmlformats.org/officeDocument/2006/customXml" ds:itemID="{053A47D0-2681-4221-9AAC-214A70982386}">
  <ds:schemaRefs/>
</ds:datastoreItem>
</file>

<file path=customXml/itemProps4.xml><?xml version="1.0" encoding="utf-8"?>
<ds:datastoreItem xmlns:ds="http://schemas.openxmlformats.org/officeDocument/2006/customXml" ds:itemID="{70089CC9-B720-4883-B416-DEE26DF90386}">
  <ds:schemaRefs/>
</ds:datastoreItem>
</file>

<file path=customXml/itemProps5.xml><?xml version="1.0" encoding="utf-8"?>
<ds:datastoreItem xmlns:ds="http://schemas.openxmlformats.org/officeDocument/2006/customXml" ds:itemID="{F8B54356-1E9C-4E38-8A47-588131EE344F}">
  <ds:schemaRefs/>
</ds:datastoreItem>
</file>

<file path=customXml/itemProps6.xml><?xml version="1.0" encoding="utf-8"?>
<ds:datastoreItem xmlns:ds="http://schemas.openxmlformats.org/officeDocument/2006/customXml" ds:itemID="{25FDFAC7-9272-486A-A786-31EB04B094EC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2179B5D4-6A93-462A-AE36-37C8FEF33419}">
  <ds:schemaRefs/>
</ds:datastoreItem>
</file>

<file path=customXml/itemProps8.xml><?xml version="1.0" encoding="utf-8"?>
<ds:datastoreItem xmlns:ds="http://schemas.openxmlformats.org/officeDocument/2006/customXml" ds:itemID="{34FC65F9-A9C8-4D62-91FD-51AE091F21F8}">
  <ds:schemaRefs/>
</ds:datastoreItem>
</file>

<file path=customXml/itemProps9.xml><?xml version="1.0" encoding="utf-8"?>
<ds:datastoreItem xmlns:ds="http://schemas.openxmlformats.org/officeDocument/2006/customXml" ds:itemID="{89ECAE08-F687-401A-AE2A-0FBA23FE0BD0}">
  <ds:schemaRefs/>
</ds:datastoreItem>
</file>

<file path=customXml/itemProps10.xml><?xml version="1.0" encoding="utf-8"?>
<ds:datastoreItem xmlns:ds="http://schemas.openxmlformats.org/officeDocument/2006/customXml" ds:itemID="{83878527-79E5-496B-8774-D8B1DB013BC4}">
  <ds:schemaRefs/>
</ds:datastoreItem>
</file>

<file path=customXml/itemProps11.xml><?xml version="1.0" encoding="utf-8"?>
<ds:datastoreItem xmlns:ds="http://schemas.openxmlformats.org/officeDocument/2006/customXml" ds:itemID="{3524E7A8-DA00-4759-B5FB-977F90D514E9}">
  <ds:schemaRefs/>
</ds:datastoreItem>
</file>

<file path=customXml/itemProps12.xml><?xml version="1.0" encoding="utf-8"?>
<ds:datastoreItem xmlns:ds="http://schemas.openxmlformats.org/officeDocument/2006/customXml" ds:itemID="{6E521A77-A36E-47E8-843D-F98F08AC5950}">
  <ds:schemaRefs/>
</ds:datastoreItem>
</file>

<file path=customXml/itemProps13.xml><?xml version="1.0" encoding="utf-8"?>
<ds:datastoreItem xmlns:ds="http://schemas.openxmlformats.org/officeDocument/2006/customXml" ds:itemID="{8EBDF5AC-FA1E-4787-A945-194DEA449472}">
  <ds:schemaRefs/>
</ds:datastoreItem>
</file>

<file path=customXml/itemProps14.xml><?xml version="1.0" encoding="utf-8"?>
<ds:datastoreItem xmlns:ds="http://schemas.openxmlformats.org/officeDocument/2006/customXml" ds:itemID="{B2F87DE6-CFA8-4C6F-9E21-D427D59B2F08}">
  <ds:schemaRefs/>
</ds:datastoreItem>
</file>

<file path=customXml/itemProps15.xml><?xml version="1.0" encoding="utf-8"?>
<ds:datastoreItem xmlns:ds="http://schemas.openxmlformats.org/officeDocument/2006/customXml" ds:itemID="{108F48BF-2795-477D-AE84-33323EFECFDC}">
  <ds:schemaRefs/>
</ds:datastoreItem>
</file>

<file path=customXml/itemProps16.xml><?xml version="1.0" encoding="utf-8"?>
<ds:datastoreItem xmlns:ds="http://schemas.openxmlformats.org/officeDocument/2006/customXml" ds:itemID="{EE9A539A-E01B-494B-9456-AAF9C592EF8A}">
  <ds:schemaRefs/>
</ds:datastoreItem>
</file>

<file path=customXml/itemProps17.xml><?xml version="1.0" encoding="utf-8"?>
<ds:datastoreItem xmlns:ds="http://schemas.openxmlformats.org/officeDocument/2006/customXml" ds:itemID="{9566A3C8-1C04-4E76-AA1D-E2229BB62690}">
  <ds:schemaRefs/>
</ds:datastoreItem>
</file>

<file path=customXml/itemProps18.xml><?xml version="1.0" encoding="utf-8"?>
<ds:datastoreItem xmlns:ds="http://schemas.openxmlformats.org/officeDocument/2006/customXml" ds:itemID="{3DF4FF25-1687-42AD-83AE-B7CE0F64BE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STUDY AREA 1</vt:lpstr>
      <vt:lpstr>STUDY AREA 2</vt:lpstr>
      <vt:lpstr>STUDY AREA 3</vt:lpstr>
      <vt:lpstr>STUDY AREA 4</vt:lpstr>
      <vt:lpstr>FEEDER AND SUBSTATION</vt:lpstr>
      <vt:lpstr>POWERPLANT</vt:lpstr>
      <vt:lpstr>BREAKERS</vt:lpstr>
      <vt:lpstr>LOOKUP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Miguel Badoria</dc:creator>
  <cp:lastModifiedBy>Joshua Miguel Badoria</cp:lastModifiedBy>
  <dcterms:created xsi:type="dcterms:W3CDTF">2025-02-06T12:11:55Z</dcterms:created>
  <dcterms:modified xsi:type="dcterms:W3CDTF">2025-11-15T04:42:16Z</dcterms:modified>
</cp:coreProperties>
</file>
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wnloads\Portfolio\Excel\Cleaned File\"/>
    </mc:Choice>
  </mc:AlternateContent>
  <xr:revisionPtr revIDLastSave="0" documentId="13_ncr:1_{06BD3416-F353-4F5E-BB32-6F59D71C9F1A}" xr6:coauthVersionLast="47" xr6:coauthVersionMax="47" xr10:uidLastSave="{00000000-0000-0000-0000-000000000000}"/>
  <bookViews>
    <workbookView xWindow="-108" yWindow="-108" windowWidth="23256" windowHeight="13176" xr2:uid="{00000000-000D-0000-FFFF-FFFF00000000}"/>
  </bookViews>
  <sheets>
    <sheet name="DASHBOARD" sheetId="4" r:id="rId1"/>
    <sheet name="DATA AND SCENARIO" sheetId="3" r:id="rId2"/>
    <sheet name="RELIABILITY INDICES" sheetId="2" r:id="rId3"/>
    <sheet name="RESULTS" sheetId="1" r:id="rId4"/>
  </sheets>
  <definedNames>
    <definedName name="_xlchart.v2.0" hidden="1">RESULTS!$B$2:$B$10</definedName>
    <definedName name="_xlchart.v2.1" hidden="1">RESULTS!$I$2:$I$10</definedName>
    <definedName name="_xlchart.v2.2" hidden="1">RESULTS!$B$3:$B$10</definedName>
    <definedName name="_xlchart.v2.3" hidden="1">RESULTS!$L$3:$L$10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 r="J6" i="1"/>
  <c r="J5" i="1"/>
  <c r="J4" i="1"/>
  <c r="J3" i="1"/>
  <c r="J2" i="1"/>
  <c r="Y124" i="2" a="1"/>
  <c r="AA133" i="2" s="1"/>
  <c r="V124" i="2" a="1"/>
  <c r="X133" i="2" s="1"/>
  <c r="U129" i="2"/>
  <c r="U125" i="2"/>
  <c r="S124" i="2" a="1"/>
  <c r="U132" i="2" s="1"/>
  <c r="P124" i="2" a="1"/>
  <c r="R133" i="2" s="1"/>
  <c r="M124" i="2" a="1"/>
  <c r="O133" i="2" s="1"/>
  <c r="J124" i="2" a="1"/>
  <c r="L133" i="2" s="1"/>
  <c r="G124" i="2" a="1"/>
  <c r="I133" i="2" s="1"/>
  <c r="D124" i="2" a="1"/>
  <c r="D124" i="2" s="1"/>
  <c r="D134" i="2" s="1"/>
  <c r="C10" i="1" s="1"/>
  <c r="AA117" i="2"/>
  <c r="AA109" i="2"/>
  <c r="X112" i="2"/>
  <c r="U118" i="2"/>
  <c r="U117" i="2"/>
  <c r="R110" i="2"/>
  <c r="O117" i="2"/>
  <c r="L111" i="2"/>
  <c r="L110" i="2"/>
  <c r="F118" i="2"/>
  <c r="F117" i="2"/>
  <c r="F114" i="2"/>
  <c r="Y109" i="2" a="1"/>
  <c r="Y109" i="2" s="1"/>
  <c r="Y119" i="2" s="1"/>
  <c r="V109" i="2" a="1"/>
  <c r="X118" i="2" s="1"/>
  <c r="S109" i="2" a="1"/>
  <c r="U110" i="2" s="1"/>
  <c r="P109" i="2" a="1"/>
  <c r="R113" i="2" s="1"/>
  <c r="M109" i="2" a="1"/>
  <c r="M109" i="2" s="1"/>
  <c r="M119" i="2" s="1"/>
  <c r="J109" i="2" a="1"/>
  <c r="J109" i="2" s="1"/>
  <c r="J119" i="2" s="1"/>
  <c r="G109" i="2" a="1"/>
  <c r="D109" i="2" a="1"/>
  <c r="D109" i="2" s="1"/>
  <c r="C94" i="2" a="1"/>
  <c r="C94" i="2" s="1"/>
  <c r="D94" i="2" a="1"/>
  <c r="F101" i="2" s="1"/>
  <c r="G94" i="2" a="1"/>
  <c r="I103" i="2" s="1"/>
  <c r="J94" i="2" a="1"/>
  <c r="L97" i="2" s="1"/>
  <c r="M94" i="2" a="1"/>
  <c r="M94" i="2" s="1"/>
  <c r="C109" i="2" a="1"/>
  <c r="C109" i="2" s="1"/>
  <c r="AA95" i="2"/>
  <c r="X103" i="2"/>
  <c r="X102" i="2"/>
  <c r="U102" i="2"/>
  <c r="U101" i="2"/>
  <c r="U100" i="2"/>
  <c r="U96" i="2"/>
  <c r="U95" i="2"/>
  <c r="U94" i="2"/>
  <c r="R101" i="2"/>
  <c r="R100" i="2"/>
  <c r="R99" i="2"/>
  <c r="R95" i="2"/>
  <c r="R94" i="2"/>
  <c r="Y94" i="2" a="1"/>
  <c r="V94" i="2" a="1"/>
  <c r="X97" i="2" s="1"/>
  <c r="S94" i="2" a="1"/>
  <c r="S94" i="2" s="1"/>
  <c r="S104" i="2" s="1"/>
  <c r="P94" i="2" a="1"/>
  <c r="P94" i="2" s="1"/>
  <c r="P104" i="2" s="1"/>
  <c r="I41" i="2"/>
  <c r="C7" i="1"/>
  <c r="AA87" i="2"/>
  <c r="AA85" i="2"/>
  <c r="AA82" i="2"/>
  <c r="X80" i="2"/>
  <c r="U85" i="2"/>
  <c r="R88" i="2"/>
  <c r="R87" i="2"/>
  <c r="R81" i="2"/>
  <c r="O88" i="2"/>
  <c r="O87" i="2"/>
  <c r="O86" i="2"/>
  <c r="O81" i="2"/>
  <c r="I85" i="2"/>
  <c r="I84" i="2"/>
  <c r="I83" i="2"/>
  <c r="I82" i="2"/>
  <c r="I81" i="2"/>
  <c r="I80" i="2"/>
  <c r="F88" i="2"/>
  <c r="F80" i="2"/>
  <c r="F81" i="2"/>
  <c r="F85" i="2"/>
  <c r="F86" i="2"/>
  <c r="F87" i="2"/>
  <c r="F79" i="2"/>
  <c r="Y79" i="2" a="1"/>
  <c r="Y79" i="2" s="1"/>
  <c r="Y89" i="2" s="1"/>
  <c r="V79" i="2" a="1"/>
  <c r="V79" i="2" s="1"/>
  <c r="V89" i="2" s="1"/>
  <c r="S79" i="2" a="1"/>
  <c r="U86" i="2" s="1"/>
  <c r="P79" i="2" a="1"/>
  <c r="M79" i="2" a="1"/>
  <c r="O85" i="2" s="1"/>
  <c r="J79" i="2" a="1"/>
  <c r="L85" i="2" s="1"/>
  <c r="G79" i="2" a="1"/>
  <c r="G79" i="2" s="1"/>
  <c r="G89" i="2" s="1"/>
  <c r="D79" i="2" a="1"/>
  <c r="D79" i="2" s="1"/>
  <c r="D89" i="2" s="1"/>
  <c r="AA71" i="2"/>
  <c r="AA70" i="2"/>
  <c r="X68" i="2"/>
  <c r="X65" i="2"/>
  <c r="U73" i="2"/>
  <c r="U70" i="2"/>
  <c r="U69" i="2"/>
  <c r="R72" i="2"/>
  <c r="R71" i="2"/>
  <c r="R70" i="2"/>
  <c r="R65" i="2"/>
  <c r="Y64" i="2" a="1"/>
  <c r="AA73" i="2" s="1"/>
  <c r="V64" i="2" a="1"/>
  <c r="X71" i="2" s="1"/>
  <c r="S64" i="2" a="1"/>
  <c r="S64" i="2" s="1"/>
  <c r="S74" i="2" s="1"/>
  <c r="P64" i="2" a="1"/>
  <c r="P64" i="2" s="1"/>
  <c r="P74" i="2" s="1"/>
  <c r="M64" i="2" a="1"/>
  <c r="O65" i="2" s="1"/>
  <c r="J64" i="2" a="1"/>
  <c r="L69" i="2" s="1"/>
  <c r="G64" i="2" a="1"/>
  <c r="D64" i="2" a="1"/>
  <c r="F69" i="2" s="1"/>
  <c r="X54" i="2"/>
  <c r="L58" i="2"/>
  <c r="L57" i="2"/>
  <c r="L56" i="2"/>
  <c r="L55" i="2"/>
  <c r="L52" i="2"/>
  <c r="L51" i="2"/>
  <c r="L50" i="2"/>
  <c r="L49" i="2"/>
  <c r="I56" i="2"/>
  <c r="I55" i="2"/>
  <c r="I50" i="2"/>
  <c r="Y49" i="2" a="1"/>
  <c r="AA55" i="2" s="1"/>
  <c r="V49" i="2" a="1"/>
  <c r="X53" i="2" s="1"/>
  <c r="S49" i="2" a="1"/>
  <c r="P49" i="2" a="1"/>
  <c r="R50" i="2" s="1"/>
  <c r="M49" i="2" a="1"/>
  <c r="M49" i="2" s="1"/>
  <c r="M59" i="2" s="1"/>
  <c r="J49" i="2" a="1"/>
  <c r="J49" i="2" s="1"/>
  <c r="J59" i="2" s="1"/>
  <c r="G49" i="2" a="1"/>
  <c r="I54" i="2" s="1"/>
  <c r="D49" i="2" a="1"/>
  <c r="F54" i="2" s="1"/>
  <c r="C34" i="2" a="1"/>
  <c r="C34" i="2" s="1"/>
  <c r="D34" i="2" a="1"/>
  <c r="D34" i="2" s="1"/>
  <c r="G34" i="2" a="1"/>
  <c r="J34" i="2" a="1"/>
  <c r="L39" i="2" s="1"/>
  <c r="M34" i="2" a="1"/>
  <c r="O41" i="2" s="1"/>
  <c r="F35" i="2"/>
  <c r="L35" i="2"/>
  <c r="F36" i="2"/>
  <c r="F37" i="2"/>
  <c r="F38" i="2"/>
  <c r="L38" i="2"/>
  <c r="O38" i="2"/>
  <c r="F39" i="2"/>
  <c r="F40" i="2"/>
  <c r="F41" i="2"/>
  <c r="F42" i="2"/>
  <c r="I42" i="2"/>
  <c r="L42" i="2"/>
  <c r="O42" i="2"/>
  <c r="C49" i="2" a="1"/>
  <c r="C49" i="2"/>
  <c r="P34" i="2" a="1"/>
  <c r="P34" i="2" s="1"/>
  <c r="R34" i="2" s="1"/>
  <c r="S34" i="2" a="1"/>
  <c r="S34" i="2" s="1"/>
  <c r="U34" i="2" s="1"/>
  <c r="V34" i="2" a="1"/>
  <c r="X39" i="2" s="1"/>
  <c r="Y34" i="2" a="1"/>
  <c r="R36" i="2"/>
  <c r="R37" i="2"/>
  <c r="R38" i="2"/>
  <c r="U38" i="2"/>
  <c r="R39" i="2"/>
  <c r="AA39" i="2"/>
  <c r="R40" i="2"/>
  <c r="AA42" i="2"/>
  <c r="R43" i="2"/>
  <c r="U43" i="2"/>
  <c r="P44" i="2"/>
  <c r="C124" i="2" a="1"/>
  <c r="C124" i="2" s="1"/>
  <c r="C79" i="2" a="1"/>
  <c r="C79" i="2" s="1"/>
  <c r="C64" i="2" a="1"/>
  <c r="C64" i="2" s="1"/>
  <c r="C4" i="2" a="1"/>
  <c r="C4" i="2" s="1"/>
  <c r="C19" i="2" a="1"/>
  <c r="C19" i="2" s="1"/>
  <c r="U24" i="2"/>
  <c r="U22" i="2"/>
  <c r="U21" i="2"/>
  <c r="U19" i="2"/>
  <c r="AA28" i="2"/>
  <c r="D19" i="2" a="1"/>
  <c r="F20" i="2" s="1"/>
  <c r="G19" i="2" a="1"/>
  <c r="J19" i="2" a="1"/>
  <c r="M19" i="2" a="1"/>
  <c r="P19" i="2" a="1"/>
  <c r="R24" i="2" s="1"/>
  <c r="S19" i="2" a="1"/>
  <c r="S19" i="2" s="1"/>
  <c r="V19" i="2" a="1"/>
  <c r="X27" i="2" s="1"/>
  <c r="Y19" i="2" a="1"/>
  <c r="AA20" i="2" s="1"/>
  <c r="X20" i="2"/>
  <c r="F21" i="2"/>
  <c r="I21" i="2"/>
  <c r="O21" i="2"/>
  <c r="F23" i="2"/>
  <c r="L23" i="2"/>
  <c r="O23" i="2"/>
  <c r="X23" i="2"/>
  <c r="X24" i="2"/>
  <c r="X25" i="2"/>
  <c r="AA26" i="2"/>
  <c r="F4" i="2"/>
  <c r="Y4" i="2" a="1"/>
  <c r="AA13" i="2" s="1"/>
  <c r="V4" i="2" a="1"/>
  <c r="X13" i="2" s="1"/>
  <c r="S4" i="2" a="1"/>
  <c r="U13" i="2" s="1"/>
  <c r="R11" i="2"/>
  <c r="P4" i="2" a="1"/>
  <c r="R13" i="2" s="1"/>
  <c r="M4" i="2" a="1"/>
  <c r="O13" i="2" s="1"/>
  <c r="J4" i="2" a="1"/>
  <c r="L13" i="2" s="1"/>
  <c r="G4" i="2" a="1"/>
  <c r="D4" i="2" a="1"/>
  <c r="D4" i="2" s="1"/>
  <c r="F6" i="2"/>
  <c r="F7" i="2"/>
  <c r="F8" i="2"/>
  <c r="F9" i="2"/>
  <c r="F10" i="2"/>
  <c r="F11" i="2"/>
  <c r="F12" i="2"/>
  <c r="F127" i="2" l="1"/>
  <c r="R73" i="2"/>
  <c r="X85" i="2"/>
  <c r="L118" i="2"/>
  <c r="X115" i="2"/>
  <c r="U26" i="2"/>
  <c r="X86" i="2"/>
  <c r="L115" i="2"/>
  <c r="O109" i="2"/>
  <c r="S29" i="2"/>
  <c r="AA22" i="2"/>
  <c r="AA29" i="2" s="1"/>
  <c r="U27" i="2"/>
  <c r="U42" i="2"/>
  <c r="F57" i="2"/>
  <c r="O58" i="2"/>
  <c r="AA72" i="2"/>
  <c r="F5" i="2"/>
  <c r="F14" i="2" s="1"/>
  <c r="C16" i="1" s="1"/>
  <c r="X28" i="2"/>
  <c r="AA21" i="2"/>
  <c r="U28" i="2"/>
  <c r="R42" i="2"/>
  <c r="R44" i="2" s="1"/>
  <c r="Q44" i="2" s="1"/>
  <c r="U35" i="2"/>
  <c r="U44" i="2" s="1"/>
  <c r="T44" i="2" s="1"/>
  <c r="F56" i="2"/>
  <c r="R54" i="2"/>
  <c r="F67" i="2"/>
  <c r="U66" i="2"/>
  <c r="I87" i="2"/>
  <c r="U80" i="2"/>
  <c r="X88" i="2"/>
  <c r="U97" i="2"/>
  <c r="O112" i="2"/>
  <c r="AA110" i="2"/>
  <c r="O53" i="2"/>
  <c r="X82" i="2"/>
  <c r="AA88" i="2"/>
  <c r="U36" i="2"/>
  <c r="U64" i="2"/>
  <c r="U65" i="2"/>
  <c r="X87" i="2"/>
  <c r="O111" i="2"/>
  <c r="AA27" i="2"/>
  <c r="X21" i="2"/>
  <c r="R41" i="2"/>
  <c r="R35" i="2"/>
  <c r="F55" i="2"/>
  <c r="X52" i="2"/>
  <c r="U67" i="2"/>
  <c r="U74" i="2" s="1"/>
  <c r="O21" i="1" s="1"/>
  <c r="F82" i="2"/>
  <c r="I88" i="2"/>
  <c r="U83" i="2"/>
  <c r="AA79" i="2"/>
  <c r="U98" i="2"/>
  <c r="F111" i="2"/>
  <c r="O113" i="2"/>
  <c r="AA114" i="2"/>
  <c r="O52" i="2"/>
  <c r="X81" i="2"/>
  <c r="F129" i="2"/>
  <c r="O54" i="2"/>
  <c r="F131" i="2"/>
  <c r="U25" i="2"/>
  <c r="O55" i="2"/>
  <c r="X42" i="2"/>
  <c r="O57" i="2"/>
  <c r="R64" i="2"/>
  <c r="U68" i="2"/>
  <c r="O80" i="2"/>
  <c r="U84" i="2"/>
  <c r="AA81" i="2"/>
  <c r="O115" i="2"/>
  <c r="I53" i="2"/>
  <c r="O49" i="2"/>
  <c r="O59" i="2" s="1"/>
  <c r="L19" i="1" s="1"/>
  <c r="R66" i="2"/>
  <c r="O82" i="2"/>
  <c r="AA83" i="2"/>
  <c r="F125" i="2"/>
  <c r="AA24" i="2"/>
  <c r="U20" i="2"/>
  <c r="U39" i="2"/>
  <c r="O51" i="2"/>
  <c r="R67" i="2"/>
  <c r="U72" i="2"/>
  <c r="I79" i="2"/>
  <c r="X79" i="2"/>
  <c r="X89" i="2" s="1"/>
  <c r="W89" i="2" s="1"/>
  <c r="AA84" i="2"/>
  <c r="R98" i="2"/>
  <c r="U103" i="2"/>
  <c r="L109" i="2"/>
  <c r="F126" i="2"/>
  <c r="I13" i="2"/>
  <c r="G64" i="2"/>
  <c r="I69" i="2"/>
  <c r="I68" i="2"/>
  <c r="M19" i="2"/>
  <c r="O19" i="2" s="1"/>
  <c r="O28" i="2"/>
  <c r="M29" i="2"/>
  <c r="O20" i="2"/>
  <c r="J64" i="2"/>
  <c r="L65" i="2"/>
  <c r="L71" i="2"/>
  <c r="L70" i="2"/>
  <c r="D94" i="2"/>
  <c r="F98" i="2"/>
  <c r="F99" i="2"/>
  <c r="F102" i="2"/>
  <c r="F95" i="2"/>
  <c r="O27" i="2"/>
  <c r="J19" i="2"/>
  <c r="L19" i="2" s="1"/>
  <c r="L21" i="2"/>
  <c r="S49" i="2"/>
  <c r="U54" i="2"/>
  <c r="U53" i="2"/>
  <c r="I65" i="2"/>
  <c r="L11" i="2"/>
  <c r="G19" i="2"/>
  <c r="I19" i="2" s="1"/>
  <c r="I24" i="2"/>
  <c r="G29" i="2"/>
  <c r="I23" i="2"/>
  <c r="I22" i="2"/>
  <c r="I29" i="2" s="1"/>
  <c r="F17" i="1" s="1"/>
  <c r="V49" i="2"/>
  <c r="X50" i="2"/>
  <c r="X56" i="2"/>
  <c r="X55" i="2"/>
  <c r="G34" i="2"/>
  <c r="I43" i="2"/>
  <c r="I35" i="2"/>
  <c r="I38" i="2"/>
  <c r="U50" i="2"/>
  <c r="Y94" i="2"/>
  <c r="AA103" i="2"/>
  <c r="AA102" i="2"/>
  <c r="AA97" i="2"/>
  <c r="AA96" i="2"/>
  <c r="AA98" i="2"/>
  <c r="I97" i="2"/>
  <c r="G109" i="2"/>
  <c r="I115" i="2"/>
  <c r="I114" i="2"/>
  <c r="I112" i="2"/>
  <c r="I111" i="2"/>
  <c r="I110" i="2"/>
  <c r="I118" i="2"/>
  <c r="I117" i="2"/>
  <c r="I113" i="2"/>
  <c r="F27" i="2"/>
  <c r="R22" i="2"/>
  <c r="R20" i="2"/>
  <c r="I70" i="2"/>
  <c r="X69" i="2"/>
  <c r="F97" i="2"/>
  <c r="I116" i="2"/>
  <c r="O22" i="2"/>
  <c r="U41" i="2"/>
  <c r="I37" i="2"/>
  <c r="Y64" i="2"/>
  <c r="AA69" i="2"/>
  <c r="AA68" i="2"/>
  <c r="I71" i="2"/>
  <c r="O69" i="2"/>
  <c r="X70" i="2"/>
  <c r="L80" i="2"/>
  <c r="R26" i="2"/>
  <c r="L22" i="2"/>
  <c r="I20" i="2"/>
  <c r="L40" i="2"/>
  <c r="U55" i="2"/>
  <c r="I72" i="2"/>
  <c r="O70" i="2"/>
  <c r="AA101" i="2"/>
  <c r="P109" i="2"/>
  <c r="R118" i="2"/>
  <c r="R117" i="2"/>
  <c r="R114" i="2"/>
  <c r="R112" i="2"/>
  <c r="R111" i="2"/>
  <c r="R115" i="2"/>
  <c r="F22" i="2"/>
  <c r="F29" i="2" s="1"/>
  <c r="U56" i="2"/>
  <c r="F73" i="2"/>
  <c r="O71" i="2"/>
  <c r="P79" i="2"/>
  <c r="R80" i="2"/>
  <c r="R86" i="2"/>
  <c r="R85" i="2"/>
  <c r="R82" i="2"/>
  <c r="X96" i="2"/>
  <c r="L28" i="2"/>
  <c r="I36" i="2"/>
  <c r="D49" i="2"/>
  <c r="F58" i="2"/>
  <c r="F52" i="2"/>
  <c r="F53" i="2"/>
  <c r="F51" i="2"/>
  <c r="U57" i="2"/>
  <c r="F70" i="2"/>
  <c r="L66" i="2"/>
  <c r="AA65" i="2"/>
  <c r="S79" i="2"/>
  <c r="U82" i="2"/>
  <c r="U81" i="2"/>
  <c r="U88" i="2"/>
  <c r="U87" i="2"/>
  <c r="R83" i="2"/>
  <c r="V109" i="2"/>
  <c r="X114" i="2"/>
  <c r="X113" i="2"/>
  <c r="X111" i="2"/>
  <c r="X110" i="2"/>
  <c r="X117" i="2"/>
  <c r="X116" i="2"/>
  <c r="P19" i="2"/>
  <c r="R19" i="2" s="1"/>
  <c r="R27" i="2"/>
  <c r="R25" i="2"/>
  <c r="I100" i="2"/>
  <c r="O25" i="2"/>
  <c r="M34" i="2"/>
  <c r="O36" i="2"/>
  <c r="O39" i="2"/>
  <c r="R56" i="2"/>
  <c r="L73" i="2"/>
  <c r="F100" i="2"/>
  <c r="L25" i="2"/>
  <c r="X57" i="2"/>
  <c r="V94" i="2"/>
  <c r="X101" i="2"/>
  <c r="X100" i="2"/>
  <c r="X95" i="2"/>
  <c r="I99" i="2"/>
  <c r="D119" i="2"/>
  <c r="C9" i="1" s="1"/>
  <c r="F109" i="2"/>
  <c r="I25" i="2"/>
  <c r="Y34" i="2"/>
  <c r="AA34" i="2" s="1"/>
  <c r="AA35" i="2"/>
  <c r="AA38" i="2"/>
  <c r="AA41" i="2"/>
  <c r="Y49" i="2"/>
  <c r="AA52" i="2"/>
  <c r="AA51" i="2"/>
  <c r="AA58" i="2"/>
  <c r="AA57" i="2"/>
  <c r="X58" i="2"/>
  <c r="V34" i="2"/>
  <c r="X34" i="2" s="1"/>
  <c r="X35" i="2"/>
  <c r="X38" i="2"/>
  <c r="X41" i="2"/>
  <c r="V64" i="2"/>
  <c r="X73" i="2"/>
  <c r="X72" i="2"/>
  <c r="X67" i="2"/>
  <c r="X66" i="2"/>
  <c r="AA37" i="2"/>
  <c r="O40" i="2"/>
  <c r="AA50" i="2"/>
  <c r="J79" i="2"/>
  <c r="L88" i="2"/>
  <c r="L87" i="2"/>
  <c r="L82" i="2"/>
  <c r="L81" i="2"/>
  <c r="AA100" i="2"/>
  <c r="I96" i="2"/>
  <c r="X37" i="2"/>
  <c r="AA53" i="2"/>
  <c r="M79" i="2"/>
  <c r="O84" i="2"/>
  <c r="O83" i="2"/>
  <c r="L83" i="2"/>
  <c r="F96" i="2"/>
  <c r="R28" i="2"/>
  <c r="O26" i="2"/>
  <c r="O24" i="2"/>
  <c r="S44" i="2"/>
  <c r="AA40" i="2"/>
  <c r="U37" i="2"/>
  <c r="I40" i="2"/>
  <c r="L36" i="2"/>
  <c r="AA54" i="2"/>
  <c r="I73" i="2"/>
  <c r="L84" i="2"/>
  <c r="S109" i="2"/>
  <c r="U112" i="2"/>
  <c r="U111" i="2"/>
  <c r="U115" i="2"/>
  <c r="U114" i="2"/>
  <c r="R116" i="2"/>
  <c r="X11" i="2"/>
  <c r="L26" i="2"/>
  <c r="L24" i="2"/>
  <c r="Y19" i="2"/>
  <c r="AA19" i="2" s="1"/>
  <c r="AA25" i="2"/>
  <c r="X40" i="2"/>
  <c r="I28" i="2"/>
  <c r="I26" i="2"/>
  <c r="AA23" i="2"/>
  <c r="V19" i="2"/>
  <c r="X19" i="2" s="1"/>
  <c r="X26" i="2"/>
  <c r="X22" i="2"/>
  <c r="AA43" i="2"/>
  <c r="U40" i="2"/>
  <c r="AA36" i="2"/>
  <c r="O43" i="2"/>
  <c r="G49" i="2"/>
  <c r="I52" i="2"/>
  <c r="I51" i="2"/>
  <c r="I58" i="2"/>
  <c r="I57" i="2"/>
  <c r="F50" i="2"/>
  <c r="U58" i="2"/>
  <c r="AA56" i="2"/>
  <c r="L67" i="2"/>
  <c r="AA66" i="2"/>
  <c r="L86" i="2"/>
  <c r="R84" i="2"/>
  <c r="X98" i="2"/>
  <c r="U113" i="2"/>
  <c r="R23" i="2"/>
  <c r="I98" i="2"/>
  <c r="I102" i="2"/>
  <c r="I11" i="2"/>
  <c r="P49" i="2"/>
  <c r="R58" i="2"/>
  <c r="R57" i="2"/>
  <c r="R52" i="2"/>
  <c r="R51" i="2"/>
  <c r="R55" i="2"/>
  <c r="L72" i="2"/>
  <c r="M64" i="2"/>
  <c r="O67" i="2"/>
  <c r="O66" i="2"/>
  <c r="O73" i="2"/>
  <c r="O72" i="2"/>
  <c r="L27" i="2"/>
  <c r="J34" i="2"/>
  <c r="L34" i="2" s="1"/>
  <c r="L41" i="2"/>
  <c r="I66" i="2"/>
  <c r="I27" i="2"/>
  <c r="D19" i="2"/>
  <c r="F19" i="2" s="1"/>
  <c r="F25" i="2"/>
  <c r="F24" i="2"/>
  <c r="O37" i="2"/>
  <c r="I67" i="2"/>
  <c r="L37" i="2"/>
  <c r="U51" i="2"/>
  <c r="O68" i="2"/>
  <c r="AA99" i="2"/>
  <c r="L20" i="2"/>
  <c r="U52" i="2"/>
  <c r="F28" i="2"/>
  <c r="F26" i="2"/>
  <c r="R21" i="2"/>
  <c r="X43" i="2"/>
  <c r="X36" i="2"/>
  <c r="L43" i="2"/>
  <c r="I39" i="2"/>
  <c r="O35" i="2"/>
  <c r="R53" i="2"/>
  <c r="X51" i="2"/>
  <c r="D64" i="2"/>
  <c r="F65" i="2"/>
  <c r="F66" i="2"/>
  <c r="F71" i="2"/>
  <c r="F72" i="2"/>
  <c r="F68" i="2"/>
  <c r="L68" i="2"/>
  <c r="AA67" i="2"/>
  <c r="X99" i="2"/>
  <c r="F103" i="2"/>
  <c r="G94" i="2"/>
  <c r="U116" i="2"/>
  <c r="R102" i="2"/>
  <c r="F115" i="2"/>
  <c r="AA118" i="2"/>
  <c r="O50" i="2"/>
  <c r="AA80" i="2"/>
  <c r="R103" i="2"/>
  <c r="F116" i="2"/>
  <c r="O110" i="2"/>
  <c r="X125" i="2"/>
  <c r="F124" i="2"/>
  <c r="L112" i="2"/>
  <c r="L119" i="2" s="1"/>
  <c r="X18" i="1" s="1"/>
  <c r="O114" i="2"/>
  <c r="O119" i="2" s="1"/>
  <c r="X19" i="1" s="1"/>
  <c r="AA111" i="2"/>
  <c r="F128" i="2"/>
  <c r="U126" i="2"/>
  <c r="D14" i="2"/>
  <c r="L53" i="2"/>
  <c r="L59" i="2" s="1"/>
  <c r="R68" i="2"/>
  <c r="F84" i="2"/>
  <c r="X83" i="2"/>
  <c r="R96" i="2"/>
  <c r="L113" i="2"/>
  <c r="AA112" i="2"/>
  <c r="U127" i="2"/>
  <c r="F13" i="2"/>
  <c r="U23" i="2"/>
  <c r="F43" i="2"/>
  <c r="L54" i="2"/>
  <c r="O56" i="2"/>
  <c r="R69" i="2"/>
  <c r="U71" i="2"/>
  <c r="F83" i="2"/>
  <c r="I86" i="2"/>
  <c r="X84" i="2"/>
  <c r="AA86" i="2"/>
  <c r="AA89" i="2" s="1"/>
  <c r="Z89" i="2" s="1"/>
  <c r="R97" i="2"/>
  <c r="U99" i="2"/>
  <c r="F110" i="2"/>
  <c r="L114" i="2"/>
  <c r="O116" i="2"/>
  <c r="AA113" i="2"/>
  <c r="F130" i="2"/>
  <c r="U128" i="2"/>
  <c r="F112" i="2"/>
  <c r="L116" i="2"/>
  <c r="O118" i="2"/>
  <c r="AA115" i="2"/>
  <c r="F132" i="2"/>
  <c r="U130" i="2"/>
  <c r="O103" i="2"/>
  <c r="F113" i="2"/>
  <c r="L117" i="2"/>
  <c r="AA116" i="2"/>
  <c r="F133" i="2"/>
  <c r="U131" i="2"/>
  <c r="O96" i="2"/>
  <c r="U133" i="2"/>
  <c r="U104" i="2"/>
  <c r="U21" i="1" s="1"/>
  <c r="X44" i="2"/>
  <c r="R74" i="2"/>
  <c r="O20" i="1" s="1"/>
  <c r="Y124" i="2"/>
  <c r="AA124" i="2" s="1"/>
  <c r="AA126" i="2"/>
  <c r="AA128" i="2"/>
  <c r="AA130" i="2"/>
  <c r="AA131" i="2"/>
  <c r="AA132" i="2"/>
  <c r="AA125" i="2"/>
  <c r="AA127" i="2"/>
  <c r="AA129" i="2"/>
  <c r="X127" i="2"/>
  <c r="X128" i="2"/>
  <c r="X129" i="2"/>
  <c r="X130" i="2"/>
  <c r="X131" i="2"/>
  <c r="X132" i="2"/>
  <c r="V124" i="2"/>
  <c r="X126" i="2"/>
  <c r="S124" i="2"/>
  <c r="R125" i="2"/>
  <c r="R126" i="2"/>
  <c r="R128" i="2"/>
  <c r="R129" i="2"/>
  <c r="R130" i="2"/>
  <c r="R131" i="2"/>
  <c r="R132" i="2"/>
  <c r="P124" i="2"/>
  <c r="R127" i="2"/>
  <c r="M124" i="2"/>
  <c r="O125" i="2"/>
  <c r="O126" i="2"/>
  <c r="O127" i="2"/>
  <c r="O128" i="2"/>
  <c r="O129" i="2"/>
  <c r="O130" i="2"/>
  <c r="O131" i="2"/>
  <c r="O132" i="2"/>
  <c r="J124" i="2"/>
  <c r="L125" i="2"/>
  <c r="L127" i="2"/>
  <c r="L128" i="2"/>
  <c r="L129" i="2"/>
  <c r="L130" i="2"/>
  <c r="L131" i="2"/>
  <c r="L132" i="2"/>
  <c r="L126" i="2"/>
  <c r="G124" i="2"/>
  <c r="I125" i="2"/>
  <c r="I126" i="2"/>
  <c r="I127" i="2"/>
  <c r="I128" i="2"/>
  <c r="I129" i="2"/>
  <c r="I130" i="2"/>
  <c r="I131" i="2"/>
  <c r="I132" i="2"/>
  <c r="O94" i="2"/>
  <c r="M104" i="2"/>
  <c r="O102" i="2"/>
  <c r="O99" i="2"/>
  <c r="J94" i="2"/>
  <c r="L102" i="2"/>
  <c r="L96" i="2"/>
  <c r="O101" i="2"/>
  <c r="L101" i="2"/>
  <c r="I101" i="2"/>
  <c r="O95" i="2"/>
  <c r="L98" i="2"/>
  <c r="I95" i="2"/>
  <c r="O100" i="2"/>
  <c r="O97" i="2"/>
  <c r="L99" i="2"/>
  <c r="O98" i="2"/>
  <c r="L95" i="2"/>
  <c r="L103" i="2"/>
  <c r="L100" i="2"/>
  <c r="O34" i="2"/>
  <c r="M44" i="2"/>
  <c r="D44" i="2"/>
  <c r="F34" i="2"/>
  <c r="G44" i="2"/>
  <c r="I34" i="2"/>
  <c r="AA5" i="2"/>
  <c r="AA6" i="2"/>
  <c r="AA7" i="2"/>
  <c r="AA8" i="2"/>
  <c r="AA9" i="2"/>
  <c r="AA10" i="2"/>
  <c r="AA11" i="2"/>
  <c r="AA12" i="2"/>
  <c r="Y4" i="2"/>
  <c r="X5" i="2"/>
  <c r="X6" i="2"/>
  <c r="X7" i="2"/>
  <c r="X8" i="2"/>
  <c r="X9" i="2"/>
  <c r="X10" i="2"/>
  <c r="X12" i="2"/>
  <c r="V4" i="2"/>
  <c r="U12" i="2"/>
  <c r="U5" i="2"/>
  <c r="U6" i="2"/>
  <c r="U7" i="2"/>
  <c r="U8" i="2"/>
  <c r="U9" i="2"/>
  <c r="U10" i="2"/>
  <c r="U11" i="2"/>
  <c r="S4" i="2"/>
  <c r="R5" i="2"/>
  <c r="R6" i="2"/>
  <c r="R7" i="2"/>
  <c r="R8" i="2"/>
  <c r="R9" i="2"/>
  <c r="R10" i="2"/>
  <c r="R12" i="2"/>
  <c r="P4" i="2"/>
  <c r="O12" i="2"/>
  <c r="O5" i="2"/>
  <c r="O6" i="2"/>
  <c r="O7" i="2"/>
  <c r="O8" i="2"/>
  <c r="O9" i="2"/>
  <c r="O10" i="2"/>
  <c r="O11" i="2"/>
  <c r="M4" i="2"/>
  <c r="L5" i="2"/>
  <c r="L6" i="2"/>
  <c r="L7" i="2"/>
  <c r="L8" i="2"/>
  <c r="L9" i="2"/>
  <c r="L10" i="2"/>
  <c r="L12" i="2"/>
  <c r="J4" i="2"/>
  <c r="L4" i="2" s="1"/>
  <c r="I5" i="2"/>
  <c r="I6" i="2"/>
  <c r="I7" i="2"/>
  <c r="I8" i="2"/>
  <c r="I9" i="2"/>
  <c r="I10" i="2"/>
  <c r="I12" i="2"/>
  <c r="G4" i="2"/>
  <c r="I4" i="2" s="1"/>
  <c r="K59" i="2" l="1"/>
  <c r="L18" i="1"/>
  <c r="O29" i="2"/>
  <c r="F19" i="1" s="1"/>
  <c r="I89" i="2"/>
  <c r="R17" i="1" s="1"/>
  <c r="Y44" i="2"/>
  <c r="Z44" i="2" s="1"/>
  <c r="L44" i="2"/>
  <c r="F134" i="2"/>
  <c r="AA16" i="1" s="1"/>
  <c r="X29" i="2"/>
  <c r="R29" i="2"/>
  <c r="F20" i="1" s="1"/>
  <c r="F89" i="2"/>
  <c r="V44" i="2"/>
  <c r="L29" i="2"/>
  <c r="K29" i="2" s="1"/>
  <c r="I14" i="2"/>
  <c r="F119" i="2"/>
  <c r="X16" i="1" s="1"/>
  <c r="U29" i="2"/>
  <c r="T29" i="2" s="1"/>
  <c r="AA44" i="2"/>
  <c r="J29" i="2"/>
  <c r="W44" i="2"/>
  <c r="AA119" i="2"/>
  <c r="X23" i="1" s="1"/>
  <c r="R104" i="2"/>
  <c r="U20" i="1" s="1"/>
  <c r="I23" i="1"/>
  <c r="E89" i="2"/>
  <c r="R16" i="1"/>
  <c r="M89" i="2"/>
  <c r="O79" i="2"/>
  <c r="O89" i="2" s="1"/>
  <c r="J74" i="2"/>
  <c r="L64" i="2"/>
  <c r="L74" i="2" s="1"/>
  <c r="O18" i="1" s="1"/>
  <c r="R4" i="2"/>
  <c r="R14" i="2" s="1"/>
  <c r="P14" i="2"/>
  <c r="G104" i="2"/>
  <c r="I94" i="2"/>
  <c r="I104" i="2" s="1"/>
  <c r="U17" i="1" s="1"/>
  <c r="V119" i="2"/>
  <c r="X109" i="2"/>
  <c r="X119" i="2" s="1"/>
  <c r="X22" i="1" s="1"/>
  <c r="AA4" i="2"/>
  <c r="AA14" i="2" s="1"/>
  <c r="Y14" i="2"/>
  <c r="D59" i="2"/>
  <c r="C5" i="1" s="1"/>
  <c r="F49" i="2"/>
  <c r="F59" i="2" s="1"/>
  <c r="L16" i="1" s="1"/>
  <c r="J44" i="2"/>
  <c r="S119" i="2"/>
  <c r="U109" i="2"/>
  <c r="U119" i="2" s="1"/>
  <c r="X21" i="1" s="1"/>
  <c r="J14" i="2"/>
  <c r="S89" i="2"/>
  <c r="U79" i="2"/>
  <c r="U89" i="2" s="1"/>
  <c r="G74" i="2"/>
  <c r="I64" i="2"/>
  <c r="I74" i="2" s="1"/>
  <c r="O17" i="1" s="1"/>
  <c r="E29" i="2"/>
  <c r="P119" i="2"/>
  <c r="Q119" i="2" s="1"/>
  <c r="R109" i="2"/>
  <c r="R119" i="2" s="1"/>
  <c r="X20" i="1" s="1"/>
  <c r="I21" i="1"/>
  <c r="V59" i="2"/>
  <c r="X49" i="2"/>
  <c r="X59" i="2" s="1"/>
  <c r="W59" i="2" s="1"/>
  <c r="Y74" i="2"/>
  <c r="AA64" i="2"/>
  <c r="AA74" i="2" s="1"/>
  <c r="O23" i="1" s="1"/>
  <c r="P59" i="2"/>
  <c r="R49" i="2"/>
  <c r="R59" i="2" s="1"/>
  <c r="O4" i="2"/>
  <c r="M14" i="2"/>
  <c r="X4" i="2"/>
  <c r="X14" i="2" s="1"/>
  <c r="V14" i="2"/>
  <c r="F44" i="2"/>
  <c r="E44" i="2" s="1"/>
  <c r="E14" i="2"/>
  <c r="C2" i="1"/>
  <c r="C4" i="1"/>
  <c r="C3" i="1"/>
  <c r="M74" i="2"/>
  <c r="N74" i="2" s="1"/>
  <c r="O64" i="2"/>
  <c r="O74" i="2" s="1"/>
  <c r="O19" i="1" s="1"/>
  <c r="J89" i="2"/>
  <c r="L79" i="2"/>
  <c r="L89" i="2" s="1"/>
  <c r="D104" i="2"/>
  <c r="C8" i="1" s="1"/>
  <c r="F94" i="2"/>
  <c r="F104" i="2" s="1"/>
  <c r="U16" i="1" s="1"/>
  <c r="G14" i="2"/>
  <c r="H14" i="2" s="1"/>
  <c r="O44" i="2"/>
  <c r="I19" i="1" s="1"/>
  <c r="D74" i="2"/>
  <c r="C6" i="1" s="1"/>
  <c r="F64" i="2"/>
  <c r="F74" i="2" s="1"/>
  <c r="O16" i="1" s="1"/>
  <c r="S59" i="2"/>
  <c r="U49" i="2"/>
  <c r="U59" i="2" s="1"/>
  <c r="T59" i="2" s="1"/>
  <c r="I20" i="1"/>
  <c r="P89" i="2"/>
  <c r="R79" i="2"/>
  <c r="R89" i="2" s="1"/>
  <c r="R20" i="1" s="1"/>
  <c r="I22" i="1"/>
  <c r="Y59" i="2"/>
  <c r="AA49" i="2"/>
  <c r="AA59" i="2" s="1"/>
  <c r="L23" i="1" s="1"/>
  <c r="V74" i="2"/>
  <c r="X64" i="2"/>
  <c r="X74" i="2" s="1"/>
  <c r="O22" i="1" s="1"/>
  <c r="V104" i="2"/>
  <c r="X94" i="2"/>
  <c r="X104" i="2" s="1"/>
  <c r="U22" i="1" s="1"/>
  <c r="Y104" i="2"/>
  <c r="AA94" i="2"/>
  <c r="AA104" i="2" s="1"/>
  <c r="U23" i="1" s="1"/>
  <c r="U4" i="2"/>
  <c r="S14" i="2"/>
  <c r="D29" i="2"/>
  <c r="G59" i="2"/>
  <c r="I49" i="2"/>
  <c r="I59" i="2" s="1"/>
  <c r="G119" i="2"/>
  <c r="H119" i="2" s="1"/>
  <c r="I109" i="2"/>
  <c r="I119" i="2" s="1"/>
  <c r="X17" i="1" s="1"/>
  <c r="W74" i="2"/>
  <c r="F21" i="1"/>
  <c r="N119" i="2"/>
  <c r="W104" i="2"/>
  <c r="T104" i="2"/>
  <c r="R23" i="1"/>
  <c r="Q89" i="2"/>
  <c r="T74" i="2"/>
  <c r="Q74" i="2"/>
  <c r="E59" i="2"/>
  <c r="F23" i="1"/>
  <c r="F22" i="1"/>
  <c r="N29" i="2"/>
  <c r="H29" i="2"/>
  <c r="Z119" i="2"/>
  <c r="K119" i="2"/>
  <c r="E74" i="2"/>
  <c r="F16" i="1"/>
  <c r="R22" i="1"/>
  <c r="N59" i="2"/>
  <c r="I44" i="2"/>
  <c r="H44" i="2" s="1"/>
  <c r="E134" i="2"/>
  <c r="E119" i="2"/>
  <c r="O104" i="2"/>
  <c r="U19" i="1" s="1"/>
  <c r="I16" i="1"/>
  <c r="U14" i="2"/>
  <c r="O14" i="2"/>
  <c r="L14" i="2"/>
  <c r="C17" i="1"/>
  <c r="Y134" i="2"/>
  <c r="X124" i="2"/>
  <c r="V134" i="2"/>
  <c r="S134" i="2"/>
  <c r="U124" i="2"/>
  <c r="U134" i="2" s="1"/>
  <c r="P134" i="2"/>
  <c r="R124" i="2"/>
  <c r="R134" i="2" s="1"/>
  <c r="M134" i="2"/>
  <c r="O124" i="2"/>
  <c r="O134" i="2" s="1"/>
  <c r="J134" i="2"/>
  <c r="L124" i="2"/>
  <c r="L134" i="2" s="1"/>
  <c r="G134" i="2"/>
  <c r="I124" i="2"/>
  <c r="I134" i="2" s="1"/>
  <c r="J104" i="2"/>
  <c r="L94" i="2"/>
  <c r="I18" i="1"/>
  <c r="P29" i="2"/>
  <c r="Q29" i="2" s="1"/>
  <c r="Y29" i="2"/>
  <c r="Z29" i="2" s="1"/>
  <c r="V29" i="2"/>
  <c r="W119" i="2" l="1"/>
  <c r="H74" i="2"/>
  <c r="F18" i="1"/>
  <c r="Q14" i="2"/>
  <c r="Z59" i="2"/>
  <c r="K44" i="2"/>
  <c r="W29" i="2"/>
  <c r="Q104" i="2"/>
  <c r="H89" i="2"/>
  <c r="L21" i="1"/>
  <c r="E104" i="2"/>
  <c r="H3" i="1"/>
  <c r="I3" i="1" s="1"/>
  <c r="D6" i="1"/>
  <c r="F6" i="1" s="1"/>
  <c r="G6" i="1" s="1"/>
  <c r="H9" i="1"/>
  <c r="I9" i="1" s="1"/>
  <c r="H6" i="1"/>
  <c r="I6" i="1" s="1"/>
  <c r="K74" i="2"/>
  <c r="Z104" i="2"/>
  <c r="N89" i="2"/>
  <c r="R19" i="1"/>
  <c r="T119" i="2"/>
  <c r="D9" i="1"/>
  <c r="F9" i="1" s="1"/>
  <c r="G9" i="1" s="1"/>
  <c r="H104" i="2"/>
  <c r="Z74" i="2"/>
  <c r="L17" i="1"/>
  <c r="H59" i="2"/>
  <c r="C20" i="1"/>
  <c r="R18" i="1"/>
  <c r="K89" i="2"/>
  <c r="N44" i="2"/>
  <c r="Q59" i="2"/>
  <c r="L20" i="1"/>
  <c r="T89" i="2"/>
  <c r="R21" i="1"/>
  <c r="H7" i="1" s="1"/>
  <c r="I7" i="1" s="1"/>
  <c r="L22" i="1"/>
  <c r="D3" i="1"/>
  <c r="I17" i="1"/>
  <c r="AA134" i="2"/>
  <c r="Z134" i="2" s="1"/>
  <c r="X134" i="2"/>
  <c r="W134" i="2" s="1"/>
  <c r="N104" i="2"/>
  <c r="L104" i="2"/>
  <c r="U18" i="1" s="1"/>
  <c r="D8" i="1" s="1"/>
  <c r="F8" i="1" s="1"/>
  <c r="G8" i="1" s="1"/>
  <c r="AA19" i="1"/>
  <c r="Z14" i="2"/>
  <c r="C23" i="1"/>
  <c r="W14" i="2"/>
  <c r="C22" i="1"/>
  <c r="T14" i="2"/>
  <c r="C21" i="1"/>
  <c r="N14" i="2"/>
  <c r="C19" i="1"/>
  <c r="C18" i="1"/>
  <c r="K14" i="2"/>
  <c r="K134" i="2"/>
  <c r="AA18" i="1"/>
  <c r="Q134" i="2"/>
  <c r="AA20" i="1"/>
  <c r="T134" i="2"/>
  <c r="AA21" i="1"/>
  <c r="H134" i="2"/>
  <c r="AA17" i="1"/>
  <c r="N134" i="2"/>
  <c r="E6" i="1" l="1"/>
  <c r="H5" i="1"/>
  <c r="I5" i="1" s="1"/>
  <c r="H2" i="1"/>
  <c r="I2" i="1" s="1"/>
  <c r="D7" i="1"/>
  <c r="E7" i="1" s="1"/>
  <c r="F7" i="1"/>
  <c r="G7" i="1" s="1"/>
  <c r="D2" i="1"/>
  <c r="E9" i="1"/>
  <c r="E3" i="1"/>
  <c r="F3" i="1"/>
  <c r="G3" i="1" s="1"/>
  <c r="D4" i="1"/>
  <c r="H4" i="1"/>
  <c r="I4" i="1" s="1"/>
  <c r="D5" i="1"/>
  <c r="AA23" i="1"/>
  <c r="AA22" i="1"/>
  <c r="H8" i="1"/>
  <c r="I8" i="1" s="1"/>
  <c r="K104" i="2"/>
  <c r="E8" i="1"/>
  <c r="L6" i="1" l="1"/>
  <c r="L3" i="1"/>
  <c r="L4" i="1"/>
  <c r="L5" i="1"/>
  <c r="J8" i="1"/>
  <c r="L8" i="1" s="1"/>
  <c r="J9" i="1"/>
  <c r="L9" i="1" s="1"/>
  <c r="L7" i="1"/>
  <c r="E5" i="1"/>
  <c r="F5" i="1"/>
  <c r="G5" i="1" s="1"/>
  <c r="F4" i="1"/>
  <c r="E4" i="1"/>
  <c r="F2" i="1"/>
  <c r="G2" i="1" s="1"/>
  <c r="E2" i="1"/>
  <c r="H10" i="1"/>
  <c r="I10" i="1" s="1"/>
  <c r="D10" i="1"/>
  <c r="G4" i="1"/>
  <c r="J10" i="1" l="1"/>
  <c r="L10" i="1" s="1"/>
  <c r="E10" i="1"/>
  <c r="F10" i="1"/>
  <c r="G1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<sst xmlns="http://schemas.openxmlformats.org/spreadsheetml/2006/main" count="480" uniqueCount="93">
  <si>
    <t>Component</t>
  </si>
  <si>
    <t>No. of Customer/s</t>
  </si>
  <si>
    <t>Load Connected (kW)</t>
  </si>
  <si>
    <t>M1</t>
  </si>
  <si>
    <t>M2</t>
  </si>
  <si>
    <t>M3</t>
  </si>
  <si>
    <t>M4</t>
  </si>
  <si>
    <t>M5</t>
  </si>
  <si>
    <t>M6</t>
  </si>
  <si>
    <t>M7</t>
  </si>
  <si>
    <t>M8</t>
  </si>
  <si>
    <t>r(hrs)</t>
  </si>
  <si>
    <t>A-B</t>
  </si>
  <si>
    <t>B-C</t>
  </si>
  <si>
    <t>C-D</t>
  </si>
  <si>
    <t>B-E</t>
  </si>
  <si>
    <t>E-F</t>
  </si>
  <si>
    <t>F-G</t>
  </si>
  <si>
    <t>F-H</t>
  </si>
  <si>
    <t>H-I</t>
  </si>
  <si>
    <t>I-J</t>
  </si>
  <si>
    <t>I-K</t>
  </si>
  <si>
    <t>Case</t>
  </si>
  <si>
    <t>Scenario</t>
  </si>
  <si>
    <t>Base Case</t>
  </si>
  <si>
    <t>Base Scenario</t>
  </si>
  <si>
    <t>Case01</t>
  </si>
  <si>
    <t>Case 02</t>
  </si>
  <si>
    <t>Case03</t>
  </si>
  <si>
    <t>Case04</t>
  </si>
  <si>
    <t>Case05</t>
  </si>
  <si>
    <t>Case06</t>
  </si>
  <si>
    <t>Case07</t>
  </si>
  <si>
    <t>Case08</t>
  </si>
  <si>
    <t>Switching Time</t>
  </si>
  <si>
    <t>0.333hrs</t>
  </si>
  <si>
    <t>ASUI</t>
  </si>
  <si>
    <t>ASAI</t>
  </si>
  <si>
    <t>Case 01</t>
  </si>
  <si>
    <t>Case 03</t>
  </si>
  <si>
    <t>Case 04</t>
  </si>
  <si>
    <t>Case 05</t>
  </si>
  <si>
    <t>Case 06</t>
  </si>
  <si>
    <t>Case 07</t>
  </si>
  <si>
    <t>Case 08</t>
  </si>
  <si>
    <t>SAIFI (int/customer-yr)</t>
  </si>
  <si>
    <t>SAIDI (hours/customer-yr)</t>
  </si>
  <si>
    <t>CAIDI (hours/customer-interruption)</t>
  </si>
  <si>
    <t>ASCI (kWh/customer-yr)</t>
  </si>
  <si>
    <t>ENS (kWh)</t>
  </si>
  <si>
    <t>COMPONENT FAILURE</t>
  </si>
  <si>
    <t>U (hours/year)</t>
  </si>
  <si>
    <t>r (hrs)</t>
  </si>
  <si>
    <t>ʎ (f/yr)</t>
  </si>
  <si>
    <t>LOAD Pt. M1</t>
  </si>
  <si>
    <t>LOAD Pt. M2</t>
  </si>
  <si>
    <t>LOAD Pt. M3</t>
  </si>
  <si>
    <t>LOAD Pt. M4</t>
  </si>
  <si>
    <t>LOAD Pt. M5</t>
  </si>
  <si>
    <t>LOAD Pt. M6</t>
  </si>
  <si>
    <t>LOAD Pt. M7</t>
  </si>
  <si>
    <t>LOAD Pt. M8</t>
  </si>
  <si>
    <t>MAIN</t>
  </si>
  <si>
    <t>TOTAL</t>
  </si>
  <si>
    <t>Case 1</t>
  </si>
  <si>
    <t>Case 2</t>
  </si>
  <si>
    <t>Case 3</t>
  </si>
  <si>
    <t>Case 4</t>
  </si>
  <si>
    <t>Case 5</t>
  </si>
  <si>
    <t>Case 6</t>
  </si>
  <si>
    <t>Case 7</t>
  </si>
  <si>
    <t>Case 8</t>
  </si>
  <si>
    <t>BASE CASE</t>
  </si>
  <si>
    <t>CASE 1</t>
  </si>
  <si>
    <t>CASE 2</t>
  </si>
  <si>
    <t>CASE 4</t>
  </si>
  <si>
    <t>CASE 3</t>
  </si>
  <si>
    <t>CASE 5</t>
  </si>
  <si>
    <t>CASE 6</t>
  </si>
  <si>
    <t>CASE 7</t>
  </si>
  <si>
    <t>CASE 8</t>
  </si>
  <si>
    <r>
      <rPr>
        <b/>
        <sz val="14"/>
        <color theme="1"/>
        <rFont val="Calibri"/>
        <family val="2"/>
      </rPr>
      <t>ʎ</t>
    </r>
    <r>
      <rPr>
        <b/>
        <sz val="14"/>
        <color theme="1"/>
        <rFont val="Calibri"/>
        <family val="2"/>
        <scheme val="minor"/>
      </rPr>
      <t>(f/yr)</t>
    </r>
  </si>
  <si>
    <t>kWh saved</t>
  </si>
  <si>
    <t>Number of Switches</t>
  </si>
  <si>
    <t>kWh per Switch</t>
  </si>
  <si>
    <t>Switch@ B-C</t>
  </si>
  <si>
    <t>Case 01 &amp; Switch @ C-D</t>
  </si>
  <si>
    <t>Case 02 &amp; Switch @ B-E</t>
  </si>
  <si>
    <t>Case 03 &amp; Switch @ E-F</t>
  </si>
  <si>
    <t>Case 04 &amp; Switch @ F-G</t>
  </si>
  <si>
    <t>Case 05 &amp; Switch @ F-H</t>
  </si>
  <si>
    <t>Case 06 &amp; Switch @ H-I</t>
  </si>
  <si>
    <t>Case 07 &amp; Switch @ 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</si>
</sst>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000"/>
  </numFmts>
  <fonts count="13" x14ac:knownFonts="1">
    <font>
      <sz val="11"/>
      <color theme="1"/>
      <name val="Calibri"/>
      <family val="2"/>
      <scheme val="minor"/>
    </font>
    <font>
      <b/>
      <sz val="11"/>
      <color theme="1"/>
      <name val="Calibri"/>
      <family val="2"/>
      <scheme val="minor"/>
    </font>
    <font>
      <sz val="10"/>
      <color rgb="FF000000"/>
      <name val="Arial"/>
      <family val="2"/>
    </font>
    <font>
      <sz val="11"/>
      <color theme="1"/>
      <name val="Calibri"/>
      <family val="2"/>
      <scheme val="minor"/>
    </font>
    <font>
      <b/>
      <sz val="14"/>
      <color theme="1"/>
      <name val="Times New Roman"/>
      <family val="1"/>
    </font>
    <font>
      <b/>
      <sz val="10"/>
      <color theme="1"/>
      <name val="Times New Roman"/>
      <family val="1"/>
    </font>
    <font>
      <sz val="8"/>
      <name val="Calibri"/>
      <family val="2"/>
      <scheme val="minor"/>
    </font>
    <font>
      <b/>
      <sz val="14"/>
      <color theme="1"/>
      <name val="Calibri"/>
      <family val="2"/>
      <scheme val="minor"/>
    </font>
    <font>
      <sz val="14"/>
      <color theme="1"/>
      <name val="Calibri"/>
      <family val="2"/>
      <scheme val="minor"/>
    </font>
    <font>
      <b/>
      <sz val="14"/>
      <color theme="1"/>
      <name val="Calibri"/>
      <family val="2"/>
    </font>
    <font>
      <b/>
      <sz val="14"/>
      <color rgb="FF000000"/>
      <name val="Arial"/>
      <family val="2"/>
    </font>
    <font>
      <b/>
      <sz val="12"/>
      <color theme="4" tint="-0.499984740745262"/>
      <name val="Calibri"/>
      <family val="2"/>
      <scheme val="minor"/>
    </font>
    <font>
      <sz val="11"/>
      <color theme="4" tint="-0.249977111117893"/>
      <name val="Calibri"/>
      <family val="2"/>
      <scheme val="minor"/>
    </font>
  </fonts>
  <fills count="3">
    <fill>
      <patternFill patternType="none"/>
    </fill>
    <fill>
      <patternFill patternType="gray125"/>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3" fillId="0" borderId="0" applyFont="0" applyFill="0" applyBorder="0" applyAlignment="0" applyProtection="0"/>
  </cellStyleXfs>
  <cellXfs count="74">
    <xf numFmtId="0" fontId="0" fillId="0" borderId="0" xfId="0"/>
    <xf numFmtId="0" fontId="0" fillId="0" borderId="1" xfId="0" applyBorder="1" applyAlignment="1">
      <alignment horizontal="center"/>
    </xf>
    <xf numFmtId="4" fontId="0" fillId="0" borderId="7" xfId="0" applyNumberFormat="1" applyBorder="1" applyAlignment="1">
      <alignment horizontal="center"/>
    </xf>
    <xf numFmtId="0" fontId="0" fillId="0" borderId="9" xfId="0" applyBorder="1" applyAlignment="1">
      <alignment horizontal="center"/>
    </xf>
    <xf numFmtId="4" fontId="0" fillId="0" borderId="10" xfId="0" applyNumberForma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0" fillId="0" borderId="6" xfId="0" applyBorder="1" applyAlignment="1">
      <alignment horizontal="center"/>
    </xf>
    <xf numFmtId="3" fontId="0" fillId="0" borderId="6" xfId="0" applyNumberFormat="1"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6" xfId="0" applyFont="1" applyFill="1" applyBorder="1" applyAlignment="1">
      <alignment horizontal="center" vertical="center" wrapText="1" readingOrder="1"/>
    </xf>
    <xf numFmtId="0" fontId="2" fillId="2" borderId="7" xfId="0" applyFont="1" applyFill="1" applyBorder="1" applyAlignment="1">
      <alignment horizontal="center" vertical="center" wrapText="1" readingOrder="1"/>
    </xf>
    <xf numFmtId="0" fontId="2" fillId="2" borderId="8" xfId="0" applyFont="1" applyFill="1" applyBorder="1" applyAlignment="1">
      <alignment horizontal="center" vertical="center" wrapText="1" readingOrder="1"/>
    </xf>
    <xf numFmtId="0" fontId="2" fillId="2" borderId="10" xfId="0" applyFont="1" applyFill="1" applyBorder="1" applyAlignment="1">
      <alignment horizontal="center" vertical="center" wrapText="1" readingOrder="1"/>
    </xf>
    <xf numFmtId="0" fontId="2" fillId="2" borderId="16" xfId="0" applyFont="1" applyFill="1" applyBorder="1" applyAlignment="1">
      <alignment horizontal="center" vertical="center" wrapText="1" readingOrder="1"/>
    </xf>
    <xf numFmtId="0" fontId="2" fillId="2" borderId="17" xfId="0" applyFont="1" applyFill="1" applyBorder="1" applyAlignment="1">
      <alignment horizontal="center" vertical="center" wrapText="1" readingOrder="1"/>
    </xf>
    <xf numFmtId="0" fontId="2" fillId="2" borderId="20" xfId="0" applyFont="1" applyFill="1" applyBorder="1" applyAlignment="1">
      <alignment horizontal="center" vertical="center" wrapText="1" readingOrder="1"/>
    </xf>
    <xf numFmtId="0" fontId="1" fillId="0" borderId="21" xfId="0" applyFont="1" applyBorder="1" applyAlignment="1">
      <alignment horizontal="center"/>
    </xf>
    <xf numFmtId="3" fontId="0" fillId="0" borderId="16" xfId="0" applyNumberFormat="1" applyBorder="1" applyAlignment="1">
      <alignment horizontal="center"/>
    </xf>
    <xf numFmtId="4" fontId="0" fillId="0" borderId="17" xfId="0" applyNumberFormat="1" applyBorder="1" applyAlignment="1">
      <alignment horizontal="center"/>
    </xf>
    <xf numFmtId="165" fontId="0" fillId="0" borderId="23" xfId="0" applyNumberFormat="1" applyBorder="1" applyAlignment="1">
      <alignment horizontal="center" vertical="center"/>
    </xf>
    <xf numFmtId="164" fontId="0" fillId="0" borderId="17" xfId="1" applyFont="1" applyBorder="1"/>
    <xf numFmtId="0" fontId="5" fillId="0" borderId="22" xfId="0" applyFont="1" applyBorder="1" applyAlignment="1">
      <alignment horizontal="center" vertical="center" wrapText="1"/>
    </xf>
    <xf numFmtId="0" fontId="5" fillId="0" borderId="19" xfId="0" applyFont="1" applyBorder="1" applyAlignment="1">
      <alignment horizontal="center" vertical="center" wrapText="1"/>
    </xf>
    <xf numFmtId="0" fontId="4" fillId="0" borderId="24" xfId="0" applyFont="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5" fillId="0" borderId="18" xfId="0" applyFont="1" applyBorder="1" applyAlignment="1">
      <alignment horizontal="center" vertical="center" wrapText="1"/>
    </xf>
    <xf numFmtId="0" fontId="0" fillId="0" borderId="21" xfId="0" applyBorder="1" applyAlignment="1">
      <alignment horizontal="center"/>
    </xf>
    <xf numFmtId="4" fontId="0" fillId="0" borderId="0" xfId="0" applyNumberFormat="1"/>
    <xf numFmtId="0" fontId="0" fillId="0" borderId="0" xfId="0" applyAlignment="1">
      <alignment horizontal="center"/>
    </xf>
    <xf numFmtId="0" fontId="0" fillId="0" borderId="25" xfId="0"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30" xfId="0" applyBorder="1"/>
    <xf numFmtId="0" fontId="0" fillId="0" borderId="32" xfId="0" applyBorder="1"/>
    <xf numFmtId="0" fontId="0" fillId="0" borderId="28" xfId="0" applyBorder="1" applyAlignment="1">
      <alignment horizontal="center"/>
    </xf>
    <xf numFmtId="0" fontId="0" fillId="0" borderId="29" xfId="0" applyBorder="1" applyAlignment="1">
      <alignment horizontal="center"/>
    </xf>
    <xf numFmtId="0" fontId="0" fillId="0" borderId="32"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2" fontId="0" fillId="0" borderId="16" xfId="0" applyNumberFormat="1" applyBorder="1" applyAlignment="1">
      <alignment horizontal="center" vertical="center"/>
    </xf>
    <xf numFmtId="2" fontId="0" fillId="0" borderId="6" xfId="0" applyNumberFormat="1" applyBorder="1" applyAlignment="1">
      <alignment horizontal="center" vertical="center"/>
    </xf>
    <xf numFmtId="0" fontId="1" fillId="0" borderId="0" xfId="0" applyFont="1" applyAlignment="1">
      <alignment horizontal="center"/>
    </xf>
    <xf numFmtId="0" fontId="1" fillId="0" borderId="25" xfId="0" applyFont="1" applyBorder="1"/>
    <xf numFmtId="0" fontId="7" fillId="0" borderId="18" xfId="0" applyFont="1" applyBorder="1"/>
    <xf numFmtId="0" fontId="7" fillId="0" borderId="22" xfId="0" applyFont="1" applyBorder="1"/>
    <xf numFmtId="0" fontId="7" fillId="0" borderId="19" xfId="0" applyFont="1" applyBorder="1"/>
    <xf numFmtId="0" fontId="8" fillId="0" borderId="0" xfId="0" applyFont="1"/>
    <xf numFmtId="0" fontId="7" fillId="0" borderId="15" xfId="0" applyFont="1" applyBorder="1"/>
    <xf numFmtId="0" fontId="7" fillId="0" borderId="13" xfId="0" applyFont="1" applyBorder="1" applyAlignment="1">
      <alignment horizontal="center"/>
    </xf>
    <xf numFmtId="0" fontId="7" fillId="0" borderId="14" xfId="0" applyFont="1" applyBorder="1" applyAlignment="1">
      <alignment horizontal="center"/>
    </xf>
    <xf numFmtId="0" fontId="10" fillId="2" borderId="18" xfId="0" applyFont="1" applyFill="1" applyBorder="1" applyAlignment="1">
      <alignment horizontal="center" vertical="center" wrapText="1" readingOrder="1"/>
    </xf>
    <xf numFmtId="0" fontId="10" fillId="2" borderId="19" xfId="0" applyFont="1" applyFill="1" applyBorder="1" applyAlignment="1">
      <alignment horizontal="center" vertical="center" wrapText="1" readingOrder="1"/>
    </xf>
    <xf numFmtId="0" fontId="10" fillId="2" borderId="2" xfId="0" applyFont="1" applyFill="1" applyBorder="1" applyAlignment="1">
      <alignment horizontal="center" vertical="center" wrapText="1" readingOrder="1"/>
    </xf>
    <xf numFmtId="2" fontId="0" fillId="0" borderId="23" xfId="0" applyNumberFormat="1" applyBorder="1" applyAlignment="1">
      <alignment horizontal="center" vertical="center"/>
    </xf>
    <xf numFmtId="2" fontId="0" fillId="0" borderId="17" xfId="1" applyNumberFormat="1" applyFont="1" applyBorder="1"/>
    <xf numFmtId="1" fontId="0" fillId="0" borderId="23" xfId="0" applyNumberFormat="1" applyBorder="1" applyAlignment="1">
      <alignment horizontal="center" vertical="center"/>
    </xf>
    <xf numFmtId="0" fontId="8"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8" xfId="0" applyBorder="1" applyAlignment="1">
      <alignment horizontal="center" vertical="center" textRotation="90"/>
    </xf>
    <xf numFmtId="0" fontId="0" fillId="0" borderId="30" xfId="0" applyBorder="1" applyAlignment="1">
      <alignment horizontal="center" vertical="center" textRotation="9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Energy Lost (kWh)</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1">
                  <a:lumMod val="50000"/>
                </a:schemeClr>
              </a:solidFill>
              <a:latin typeface="Calibri" panose="020F0502020204030204"/>
            </a:rPr>
            <a:t>Energy Lost (kWh)</a:t>
          </a:r>
        </a:p>
      </cx:txPr>
    </cx:title>
    <cx:plotArea>
      <cx:plotAreaRegion>
        <cx:plotSurface>
          <cx:spPr>
            <a:ln>
              <a:noFill/>
            </a:ln>
          </cx:spPr>
        </cx:plotSurface>
        <cx:series layoutId="funnel" uniqueId="{FF3C765C-F14E-4E33-AA8D-8E1C6A47608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n>
                  <a:noFill/>
                </a:ln>
                <a:solidFill>
                  <a:schemeClr val="accent1">
                    <a:lumMod val="50000"/>
                  </a:schemeClr>
                </a:solidFill>
              </a:defRPr>
            </a:pPr>
            <a:endParaRPr lang="en-US" sz="900" b="0" i="0" u="none" strike="noStrike" baseline="0">
              <a:ln>
                <a:noFill/>
              </a:ln>
              <a:solidFill>
                <a:schemeClr val="accent1">
                  <a:lumMod val="50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Energy Saved per Switch (kWh)</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1">
                  <a:lumMod val="50000"/>
                </a:schemeClr>
              </a:solidFill>
              <a:latin typeface="Calibri" panose="020F0502020204030204"/>
            </a:rPr>
            <a:t>Energy Saved per Switch (kWh)</a:t>
          </a:r>
        </a:p>
      </cx:txPr>
    </cx:title>
    <cx:plotArea>
      <cx:plotAreaRegion>
        <cx:series layoutId="funnel" uniqueId="{76DBD8CE-A0AA-4967-88A8-A2B8E2908A4B}">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1">
                    <a:lumMod val="50000"/>
                  </a:schemeClr>
                </a:solidFill>
              </a:defRPr>
            </a:pPr>
            <a:endParaRPr lang="en-US" sz="900" b="0" i="0" u="none" strike="noStrike" baseline="0">
              <a:solidFill>
                <a:schemeClr val="accent1">
                  <a:lumMod val="50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microsoft.com/office/2014/relationships/chartEx" Target="../charts/chartEx1.xml"/><Relationship Id="rId1" Type="http://schemas.openxmlformats.org/officeDocument/2006/relationships/image" Target="../media/image1.png"/><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53340</xdr:rowOff>
    </xdr:from>
    <xdr:to>
      <xdr:col>23</xdr:col>
      <xdr:colOff>281940</xdr:colOff>
      <xdr:row>3</xdr:row>
      <xdr:rowOff>114300</xdr:rowOff>
    </xdr:to>
    <xdr:sp macro="" textlink="">
      <xdr:nvSpPr>
        <xdr:cNvPr id="2" name="Rectangle: Rounded Corners 1">
          <a:extLst>
            <a:ext uri="{FF2B5EF4-FFF2-40B4-BE49-F238E27FC236}">
              <a16:creationId xmlns:a16="http://schemas.microsoft.com/office/drawing/2014/main" id="{41B147B5-2719-5690-AA36-0BF7AC33DA59}"/>
            </a:ext>
          </a:extLst>
        </xdr:cNvPr>
        <xdr:cNvSpPr/>
      </xdr:nvSpPr>
      <xdr:spPr>
        <a:xfrm>
          <a:off x="45720" y="53340"/>
          <a:ext cx="14257020" cy="609600"/>
        </a:xfrm>
        <a:prstGeom prst="roundRect">
          <a:avLst/>
        </a:prstGeom>
        <a:solidFill>
          <a:schemeClr val="accent1">
            <a:lumMod val="20000"/>
            <a:lumOff val="80000"/>
          </a:schemeClr>
        </a:solidFill>
        <a:ln w="38100">
          <a:solidFill>
            <a:schemeClr val="accent1">
              <a:lumMod val="75000"/>
            </a:schemeClr>
          </a:solidFill>
        </a:ln>
        <a:effectLst>
          <a:outerShdw blurRad="152400" sx="102000" sy="102000" algn="ctr" rotWithShape="0">
            <a:schemeClr val="accent5">
              <a:lumMod val="75000"/>
              <a:alpha val="6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000">
              <a:solidFill>
                <a:schemeClr val="accent1">
                  <a:lumMod val="50000"/>
                </a:schemeClr>
              </a:solidFill>
              <a:latin typeface="SansSerif" panose="00000400000000000000" pitchFamily="2" charset="2"/>
            </a:rPr>
            <a:t>DISTRIBUTION SYSTEM</a:t>
          </a:r>
          <a:r>
            <a:rPr lang="en-PH" sz="4000" baseline="0">
              <a:solidFill>
                <a:schemeClr val="accent1">
                  <a:lumMod val="50000"/>
                </a:schemeClr>
              </a:solidFill>
              <a:latin typeface="SansSerif" panose="00000400000000000000" pitchFamily="2" charset="2"/>
            </a:rPr>
            <a:t> RELIABILITY CASES</a:t>
          </a:r>
          <a:endParaRPr lang="en-PH" sz="4000">
            <a:solidFill>
              <a:schemeClr val="accent1">
                <a:lumMod val="50000"/>
              </a:schemeClr>
            </a:solidFill>
            <a:latin typeface="SansSerif" panose="00000400000000000000" pitchFamily="2" charset="2"/>
          </a:endParaRPr>
        </a:p>
      </xdr:txBody>
    </xdr:sp>
    <xdr:clientData/>
  </xdr:twoCellAnchor>
  <xdr:twoCellAnchor>
    <xdr:from>
      <xdr:col>0</xdr:col>
      <xdr:colOff>121920</xdr:colOff>
      <xdr:row>4</xdr:row>
      <xdr:rowOff>45720</xdr:rowOff>
    </xdr:from>
    <xdr:to>
      <xdr:col>7</xdr:col>
      <xdr:colOff>449580</xdr:colOff>
      <xdr:row>32</xdr:row>
      <xdr:rowOff>106680</xdr:rowOff>
    </xdr:to>
    <xdr:sp macro="" textlink="">
      <xdr:nvSpPr>
        <xdr:cNvPr id="6" name="Rectangle: Rounded Corners 5">
          <a:extLst>
            <a:ext uri="{FF2B5EF4-FFF2-40B4-BE49-F238E27FC236}">
              <a16:creationId xmlns:a16="http://schemas.microsoft.com/office/drawing/2014/main" id="{F5999D1A-102C-417D-A1B6-3C17FC1B28A5}"/>
            </a:ext>
          </a:extLst>
        </xdr:cNvPr>
        <xdr:cNvSpPr/>
      </xdr:nvSpPr>
      <xdr:spPr>
        <a:xfrm>
          <a:off x="121920" y="777240"/>
          <a:ext cx="4594860" cy="5181600"/>
        </a:xfrm>
        <a:prstGeom prst="roundRect">
          <a:avLst/>
        </a:prstGeom>
        <a:solidFill>
          <a:schemeClr val="accent1">
            <a:lumMod val="20000"/>
            <a:lumOff val="80000"/>
          </a:schemeClr>
        </a:solidFill>
        <a:ln w="38100">
          <a:solidFill>
            <a:schemeClr val="accent1">
              <a:lumMod val="75000"/>
            </a:schemeClr>
          </a:solidFill>
        </a:ln>
        <a:effectLst>
          <a:outerShdw blurRad="152400" sx="102000" sy="102000" algn="ctr" rotWithShape="0">
            <a:schemeClr val="accent5">
              <a:lumMod val="75000"/>
              <a:alpha val="6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4000">
            <a:solidFill>
              <a:schemeClr val="accent1">
                <a:lumMod val="50000"/>
              </a:schemeClr>
            </a:solidFill>
            <a:latin typeface="SansSerif" panose="00000400000000000000" pitchFamily="2" charset="2"/>
          </a:endParaRPr>
        </a:p>
      </xdr:txBody>
    </xdr:sp>
    <xdr:clientData/>
  </xdr:twoCellAnchor>
  <xdr:twoCellAnchor editAs="oneCell">
    <xdr:from>
      <xdr:col>1</xdr:col>
      <xdr:colOff>83821</xdr:colOff>
      <xdr:row>5</xdr:row>
      <xdr:rowOff>0</xdr:rowOff>
    </xdr:from>
    <xdr:to>
      <xdr:col>6</xdr:col>
      <xdr:colOff>527858</xdr:colOff>
      <xdr:row>17</xdr:row>
      <xdr:rowOff>175260</xdr:rowOff>
    </xdr:to>
    <xdr:pic>
      <xdr:nvPicPr>
        <xdr:cNvPr id="3" name="Picture 2">
          <a:extLst>
            <a:ext uri="{FF2B5EF4-FFF2-40B4-BE49-F238E27FC236}">
              <a16:creationId xmlns:a16="http://schemas.microsoft.com/office/drawing/2014/main" id="{590AC453-9E48-4DD2-AF8E-5F620962F147}"/>
            </a:ext>
          </a:extLst>
        </xdr:cNvPr>
        <xdr:cNvPicPr>
          <a:picLocks noGrp="1" noChangeAspect="1" noChangeArrowheads="1"/>
        </xdr:cNvPicPr>
      </xdr:nvPicPr>
      <xdr:blipFill>
        <a:blip xmlns:r="http://schemas.openxmlformats.org/officeDocument/2006/relationships" r:embed="rId1"/>
        <a:srcRect/>
        <a:stretch>
          <a:fillRect/>
        </a:stretch>
      </xdr:blipFill>
      <xdr:spPr bwMode="auto">
        <a:xfrm>
          <a:off x="693421" y="914400"/>
          <a:ext cx="3492037" cy="2369820"/>
        </a:xfrm>
        <a:prstGeom prst="rect">
          <a:avLst/>
        </a:prstGeom>
        <a:noFill/>
        <a:ln w="9525">
          <a:noFill/>
          <a:miter lim="800000"/>
          <a:headEnd/>
          <a:tailEnd/>
        </a:ln>
        <a:effectLst/>
      </xdr:spPr>
    </xdr:pic>
    <xdr:clientData/>
  </xdr:twoCellAnchor>
  <xdr:twoCellAnchor>
    <xdr:from>
      <xdr:col>8</xdr:col>
      <xdr:colOff>22860</xdr:colOff>
      <xdr:row>4</xdr:row>
      <xdr:rowOff>38100</xdr:rowOff>
    </xdr:from>
    <xdr:to>
      <xdr:col>15</xdr:col>
      <xdr:colOff>350520</xdr:colOff>
      <xdr:row>32</xdr:row>
      <xdr:rowOff>99060</xdr:rowOff>
    </xdr:to>
    <xdr:sp macro="" textlink="">
      <xdr:nvSpPr>
        <xdr:cNvPr id="12" name="Rectangle: Rounded Corners 11">
          <a:extLst>
            <a:ext uri="{FF2B5EF4-FFF2-40B4-BE49-F238E27FC236}">
              <a16:creationId xmlns:a16="http://schemas.microsoft.com/office/drawing/2014/main" id="{0B94CABF-BDCD-4591-81BA-6D0C3AE70DE3}"/>
            </a:ext>
          </a:extLst>
        </xdr:cNvPr>
        <xdr:cNvSpPr/>
      </xdr:nvSpPr>
      <xdr:spPr>
        <a:xfrm>
          <a:off x="4899660" y="769620"/>
          <a:ext cx="4594860" cy="5181600"/>
        </a:xfrm>
        <a:prstGeom prst="roundRect">
          <a:avLst/>
        </a:prstGeom>
        <a:solidFill>
          <a:schemeClr val="accent1">
            <a:lumMod val="20000"/>
            <a:lumOff val="80000"/>
          </a:schemeClr>
        </a:solidFill>
        <a:ln w="38100">
          <a:solidFill>
            <a:schemeClr val="accent1">
              <a:lumMod val="75000"/>
            </a:schemeClr>
          </a:solidFill>
        </a:ln>
        <a:effectLst>
          <a:outerShdw blurRad="152400" sx="102000" sy="102000" algn="ctr" rotWithShape="0">
            <a:schemeClr val="accent5">
              <a:lumMod val="75000"/>
              <a:alpha val="6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4000">
            <a:solidFill>
              <a:schemeClr val="accent1">
                <a:lumMod val="50000"/>
              </a:schemeClr>
            </a:solidFill>
            <a:latin typeface="SansSerif" panose="00000400000000000000" pitchFamily="2" charset="2"/>
          </a:endParaRPr>
        </a:p>
      </xdr:txBody>
    </xdr:sp>
    <xdr:clientData/>
  </xdr:twoCellAnchor>
  <xdr:twoCellAnchor>
    <xdr:from>
      <xdr:col>15</xdr:col>
      <xdr:colOff>556260</xdr:colOff>
      <xdr:row>4</xdr:row>
      <xdr:rowOff>7620</xdr:rowOff>
    </xdr:from>
    <xdr:to>
      <xdr:col>23</xdr:col>
      <xdr:colOff>274320</xdr:colOff>
      <xdr:row>32</xdr:row>
      <xdr:rowOff>68580</xdr:rowOff>
    </xdr:to>
    <xdr:sp macro="" textlink="">
      <xdr:nvSpPr>
        <xdr:cNvPr id="13" name="Rectangle: Rounded Corners 12">
          <a:extLst>
            <a:ext uri="{FF2B5EF4-FFF2-40B4-BE49-F238E27FC236}">
              <a16:creationId xmlns:a16="http://schemas.microsoft.com/office/drawing/2014/main" id="{005C57E0-396D-44A0-B3E1-A8CEF1C30252}"/>
            </a:ext>
          </a:extLst>
        </xdr:cNvPr>
        <xdr:cNvSpPr/>
      </xdr:nvSpPr>
      <xdr:spPr>
        <a:xfrm>
          <a:off x="9700260" y="739140"/>
          <a:ext cx="4594860" cy="5181600"/>
        </a:xfrm>
        <a:prstGeom prst="roundRect">
          <a:avLst/>
        </a:prstGeom>
        <a:solidFill>
          <a:schemeClr val="accent1">
            <a:lumMod val="20000"/>
            <a:lumOff val="80000"/>
          </a:schemeClr>
        </a:solidFill>
        <a:ln w="38100">
          <a:solidFill>
            <a:schemeClr val="accent1">
              <a:lumMod val="75000"/>
            </a:schemeClr>
          </a:solidFill>
        </a:ln>
        <a:effectLst>
          <a:outerShdw blurRad="152400" sx="102000" sy="102000" algn="ctr" rotWithShape="0">
            <a:schemeClr val="accent5">
              <a:lumMod val="75000"/>
              <a:alpha val="6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4000">
            <a:solidFill>
              <a:schemeClr val="accent1">
                <a:lumMod val="50000"/>
              </a:schemeClr>
            </a:solidFill>
            <a:latin typeface="SansSerif" panose="00000400000000000000" pitchFamily="2" charset="2"/>
          </a:endParaRPr>
        </a:p>
      </xdr:txBody>
    </xdr:sp>
    <xdr:clientData/>
  </xdr:twoCellAnchor>
  <xdr:twoCellAnchor>
    <xdr:from>
      <xdr:col>8</xdr:col>
      <xdr:colOff>190500</xdr:colOff>
      <xdr:row>4</xdr:row>
      <xdr:rowOff>7620</xdr:rowOff>
    </xdr:from>
    <xdr:to>
      <xdr:col>15</xdr:col>
      <xdr:colOff>152400</xdr:colOff>
      <xdr:row>20</xdr:row>
      <xdr:rowOff>68580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6738755C-D16C-4F5D-ADE6-40FFFECCF5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67300" y="739140"/>
              <a:ext cx="4229100" cy="298704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251460</xdr:colOff>
      <xdr:row>21</xdr:row>
      <xdr:rowOff>137160</xdr:rowOff>
    </xdr:from>
    <xdr:to>
      <xdr:col>15</xdr:col>
      <xdr:colOff>114300</xdr:colOff>
      <xdr:row>30</xdr:row>
      <xdr:rowOff>45720</xdr:rowOff>
    </xdr:to>
    <xdr:sp macro="" textlink="">
      <xdr:nvSpPr>
        <xdr:cNvPr id="16" name="TextBox 15">
          <a:extLst>
            <a:ext uri="{FF2B5EF4-FFF2-40B4-BE49-F238E27FC236}">
              <a16:creationId xmlns:a16="http://schemas.microsoft.com/office/drawing/2014/main" id="{381152B1-EF84-7BDC-CF2F-D512A146E78A}"/>
            </a:ext>
          </a:extLst>
        </xdr:cNvPr>
        <xdr:cNvSpPr txBox="1"/>
      </xdr:nvSpPr>
      <xdr:spPr>
        <a:xfrm>
          <a:off x="5128260" y="3977640"/>
          <a:ext cx="4130040" cy="155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a:solidFill>
                <a:schemeClr val="accent1">
                  <a:lumMod val="75000"/>
                </a:schemeClr>
              </a:solidFill>
            </a:rPr>
            <a:t>Base Case</a:t>
          </a:r>
          <a:r>
            <a:rPr lang="en-PH" sz="1600" baseline="0">
              <a:solidFill>
                <a:schemeClr val="accent1">
                  <a:lumMod val="75000"/>
                </a:schemeClr>
              </a:solidFill>
            </a:rPr>
            <a:t> has an energy loss of 520,996.02kWh. As cases progress, more disconnect switches are added to the system, with Case 8 having the least amount of energy loss of 220,638.07 kWh.</a:t>
          </a:r>
          <a:endParaRPr lang="en-PH" sz="1600">
            <a:solidFill>
              <a:schemeClr val="accent1">
                <a:lumMod val="75000"/>
              </a:schemeClr>
            </a:solidFill>
          </a:endParaRPr>
        </a:p>
      </xdr:txBody>
    </xdr:sp>
    <xdr:clientData/>
  </xdr:twoCellAnchor>
  <xdr:twoCellAnchor editAs="oneCell">
    <xdr:from>
      <xdr:col>0</xdr:col>
      <xdr:colOff>396240</xdr:colOff>
      <xdr:row>18</xdr:row>
      <xdr:rowOff>152400</xdr:rowOff>
    </xdr:from>
    <xdr:to>
      <xdr:col>7</xdr:col>
      <xdr:colOff>292417</xdr:colOff>
      <xdr:row>30</xdr:row>
      <xdr:rowOff>106680</xdr:rowOff>
    </xdr:to>
    <xdr:pic>
      <xdr:nvPicPr>
        <xdr:cNvPr id="18" name="Picture 17">
          <a:extLst>
            <a:ext uri="{FF2B5EF4-FFF2-40B4-BE49-F238E27FC236}">
              <a16:creationId xmlns:a16="http://schemas.microsoft.com/office/drawing/2014/main" id="{598CE87E-D667-4D9C-B0AC-21CCC45BF2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6240" y="3444240"/>
          <a:ext cx="4163377" cy="2148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22860</xdr:colOff>
      <xdr:row>4</xdr:row>
      <xdr:rowOff>22860</xdr:rowOff>
    </xdr:from>
    <xdr:to>
      <xdr:col>23</xdr:col>
      <xdr:colOff>243840</xdr:colOff>
      <xdr:row>20</xdr:row>
      <xdr:rowOff>30480</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C2CCBE3A-7EDC-45FC-B645-C8CC50D791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76460" y="754380"/>
              <a:ext cx="4488180" cy="29337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281940</xdr:colOff>
      <xdr:row>21</xdr:row>
      <xdr:rowOff>99060</xdr:rowOff>
    </xdr:from>
    <xdr:to>
      <xdr:col>23</xdr:col>
      <xdr:colOff>144780</xdr:colOff>
      <xdr:row>30</xdr:row>
      <xdr:rowOff>7620</xdr:rowOff>
    </xdr:to>
    <xdr:sp macro="" textlink="">
      <xdr:nvSpPr>
        <xdr:cNvPr id="21" name="TextBox 20">
          <a:extLst>
            <a:ext uri="{FF2B5EF4-FFF2-40B4-BE49-F238E27FC236}">
              <a16:creationId xmlns:a16="http://schemas.microsoft.com/office/drawing/2014/main" id="{C3FA54AC-E0A7-4AD5-BE1A-D104D980531F}"/>
            </a:ext>
          </a:extLst>
        </xdr:cNvPr>
        <xdr:cNvSpPr txBox="1"/>
      </xdr:nvSpPr>
      <xdr:spPr>
        <a:xfrm>
          <a:off x="10035540" y="3939540"/>
          <a:ext cx="4130040" cy="155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a:solidFill>
                <a:schemeClr val="accent1">
                  <a:lumMod val="75000"/>
                </a:schemeClr>
              </a:solidFill>
            </a:rPr>
            <a:t>Although Case</a:t>
          </a:r>
          <a:r>
            <a:rPr lang="en-PH" sz="1600" baseline="0">
              <a:solidFill>
                <a:schemeClr val="accent1">
                  <a:lumMod val="75000"/>
                </a:schemeClr>
              </a:solidFill>
            </a:rPr>
            <a:t> 8 has the least energy lost, it is not the most economical or cost effective for the business as it only saves 37544.74kWh. The best scenario would be the one with the highest energy saved per switch so that ROI will be quicker. Case 3 is the best option since it can save 70768.87kWh per switch, there are a total of three switches.</a:t>
          </a:r>
          <a:endParaRPr lang="en-PH" sz="1600">
            <a:solidFill>
              <a:schemeClr val="accent1">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97971</xdr:colOff>
      <xdr:row>12</xdr:row>
      <xdr:rowOff>65314</xdr:rowOff>
    </xdr:from>
    <xdr:to>
      <xdr:col>8</xdr:col>
      <xdr:colOff>754639</xdr:colOff>
      <xdr:row>38</xdr:row>
      <xdr:rowOff>161474</xdr:rowOff>
    </xdr:to>
    <xdr:pic>
      <xdr:nvPicPr>
        <xdr:cNvPr id="2" name="Picture 1">
          <a:extLst>
            <a:ext uri="{FF2B5EF4-FFF2-40B4-BE49-F238E27FC236}">
              <a16:creationId xmlns:a16="http://schemas.microsoft.com/office/drawing/2014/main" id="{C45782DF-09FA-4F4B-94C4-6702325EB29E}"/>
            </a:ext>
          </a:extLst>
        </xdr:cNvPr>
        <xdr:cNvPicPr>
          <a:picLocks noGrp="1" noChangeAspect="1" noChangeArrowheads="1"/>
        </xdr:cNvPicPr>
      </xdr:nvPicPr>
      <xdr:blipFill>
        <a:blip xmlns:r="http://schemas.openxmlformats.org/officeDocument/2006/relationships" r:embed="rId1"/>
        <a:srcRect/>
        <a:stretch>
          <a:fillRect/>
        </a:stretch>
      </xdr:blipFill>
      <xdr:spPr bwMode="auto">
        <a:xfrm>
          <a:off x="97971" y="2286000"/>
          <a:ext cx="7231639" cy="4907646"/>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99AB-0DC0-477D-9739-1360707F0A24}">
  <dimension ref="A1"/>
  <sheetViews>
    <sheetView showGridLines="0" showRowColHeaders="0" tabSelected="1" workbookViewId="0">
      <selection activeCell="J7" sqref="J7"/>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C328-1A78-455C-9E26-46A0CF1ED6CC}">
  <dimension ref="A1:P20"/>
  <sheetViews>
    <sheetView showGridLines="0" zoomScale="70" zoomScaleNormal="70" workbookViewId="0">
      <selection activeCell="M25" sqref="M25"/>
    </sheetView>
  </sheetViews>
  <sheetFormatPr defaultColWidth="22.77734375" defaultRowHeight="14.4" x14ac:dyDescent="0.3"/>
  <cols>
    <col min="1" max="1" width="13.77734375" bestFit="1" customWidth="1"/>
    <col min="2" max="2" width="21.109375" bestFit="1" customWidth="1"/>
    <col min="3" max="3" width="24.88671875" bestFit="1" customWidth="1"/>
    <col min="4" max="4" width="3.5546875" customWidth="1"/>
    <col min="5" max="5" width="13.77734375" bestFit="1" customWidth="1"/>
    <col min="6" max="6" width="8" bestFit="1" customWidth="1"/>
    <col min="7" max="7" width="6.88671875" bestFit="1" customWidth="1"/>
    <col min="8" max="8" width="4" customWidth="1"/>
    <col min="9" max="9" width="14.6640625" customWidth="1"/>
    <col min="10" max="10" width="27.6640625" customWidth="1"/>
    <col min="11" max="11" width="5" customWidth="1"/>
    <col min="12" max="12" width="20.6640625" bestFit="1" customWidth="1"/>
    <col min="14" max="14" width="9.77734375" style="35" bestFit="1" customWidth="1"/>
    <col min="15" max="15" width="22.21875" style="35" bestFit="1" customWidth="1"/>
    <col min="16" max="16" width="20.109375" style="35" bestFit="1" customWidth="1"/>
  </cols>
  <sheetData>
    <row r="1" spans="1:16" s="54" customFormat="1" ht="18.600000000000001" thickBot="1" x14ac:dyDescent="0.4">
      <c r="A1" s="51" t="s">
        <v>0</v>
      </c>
      <c r="B1" s="52" t="s">
        <v>1</v>
      </c>
      <c r="C1" s="53" t="s">
        <v>2</v>
      </c>
      <c r="E1" s="55" t="s">
        <v>0</v>
      </c>
      <c r="F1" s="56" t="s">
        <v>81</v>
      </c>
      <c r="G1" s="57" t="s">
        <v>11</v>
      </c>
      <c r="I1" s="58" t="s">
        <v>22</v>
      </c>
      <c r="J1" s="59" t="s">
        <v>23</v>
      </c>
      <c r="L1" s="60" t="s">
        <v>34</v>
      </c>
      <c r="N1" s="64"/>
      <c r="O1" s="64"/>
      <c r="P1" s="64"/>
    </row>
    <row r="2" spans="1:16" ht="15" thickBot="1" x14ac:dyDescent="0.35">
      <c r="A2" s="22" t="s">
        <v>3</v>
      </c>
      <c r="B2" s="23">
        <v>34855</v>
      </c>
      <c r="C2" s="24">
        <v>19085.830000000002</v>
      </c>
      <c r="E2" s="12" t="s">
        <v>12</v>
      </c>
      <c r="F2" s="13">
        <v>0.6</v>
      </c>
      <c r="G2" s="14">
        <v>2.5</v>
      </c>
      <c r="I2" s="19" t="s">
        <v>24</v>
      </c>
      <c r="J2" s="20" t="s">
        <v>25</v>
      </c>
      <c r="L2" s="21" t="s">
        <v>35</v>
      </c>
    </row>
    <row r="3" spans="1:16" x14ac:dyDescent="0.3">
      <c r="A3" s="5" t="s">
        <v>4</v>
      </c>
      <c r="B3" s="7">
        <v>1</v>
      </c>
      <c r="C3" s="2">
        <v>2585.36</v>
      </c>
      <c r="E3" s="7" t="s">
        <v>13</v>
      </c>
      <c r="F3" s="1">
        <v>0.4</v>
      </c>
      <c r="G3" s="10">
        <v>2</v>
      </c>
      <c r="I3" s="15" t="s">
        <v>26</v>
      </c>
      <c r="J3" s="16" t="s">
        <v>85</v>
      </c>
    </row>
    <row r="4" spans="1:16" x14ac:dyDescent="0.3">
      <c r="A4" s="5" t="s">
        <v>5</v>
      </c>
      <c r="B4" s="8">
        <v>7899</v>
      </c>
      <c r="C4" s="2">
        <v>2575.86</v>
      </c>
      <c r="E4" s="7" t="s">
        <v>14</v>
      </c>
      <c r="F4" s="1">
        <v>0.4</v>
      </c>
      <c r="G4" s="10">
        <v>2</v>
      </c>
      <c r="I4" s="15" t="s">
        <v>27</v>
      </c>
      <c r="J4" s="16" t="s">
        <v>86</v>
      </c>
    </row>
    <row r="5" spans="1:16" x14ac:dyDescent="0.3">
      <c r="A5" s="5" t="s">
        <v>6</v>
      </c>
      <c r="B5" s="8">
        <v>8746</v>
      </c>
      <c r="C5" s="2">
        <v>9494.65</v>
      </c>
      <c r="E5" s="7" t="s">
        <v>15</v>
      </c>
      <c r="F5" s="1">
        <v>0.3</v>
      </c>
      <c r="G5" s="10">
        <v>4</v>
      </c>
      <c r="I5" s="15" t="s">
        <v>28</v>
      </c>
      <c r="J5" s="16" t="s">
        <v>87</v>
      </c>
    </row>
    <row r="6" spans="1:16" x14ac:dyDescent="0.3">
      <c r="A6" s="5" t="s">
        <v>7</v>
      </c>
      <c r="B6" s="8">
        <v>11141</v>
      </c>
      <c r="C6" s="2">
        <v>3741.32</v>
      </c>
      <c r="E6" s="7" t="s">
        <v>16</v>
      </c>
      <c r="F6" s="1">
        <v>0.3</v>
      </c>
      <c r="G6" s="10">
        <v>3</v>
      </c>
      <c r="I6" s="15" t="s">
        <v>29</v>
      </c>
      <c r="J6" s="16" t="s">
        <v>88</v>
      </c>
    </row>
    <row r="7" spans="1:16" x14ac:dyDescent="0.3">
      <c r="A7" s="5" t="s">
        <v>8</v>
      </c>
      <c r="B7" s="8">
        <v>7223</v>
      </c>
      <c r="C7" s="2">
        <v>2795.99</v>
      </c>
      <c r="E7" s="7" t="s">
        <v>17</v>
      </c>
      <c r="F7" s="1">
        <v>0.6</v>
      </c>
      <c r="G7" s="10">
        <v>2.5</v>
      </c>
      <c r="I7" s="15" t="s">
        <v>30</v>
      </c>
      <c r="J7" s="16" t="s">
        <v>89</v>
      </c>
    </row>
    <row r="8" spans="1:16" x14ac:dyDescent="0.3">
      <c r="A8" s="5" t="s">
        <v>9</v>
      </c>
      <c r="B8" s="8">
        <v>32947</v>
      </c>
      <c r="C8" s="2">
        <v>9850.6200000000008</v>
      </c>
      <c r="E8" s="7" t="s">
        <v>18</v>
      </c>
      <c r="F8" s="1">
        <v>0.5</v>
      </c>
      <c r="G8" s="10">
        <v>3</v>
      </c>
      <c r="I8" s="15" t="s">
        <v>31</v>
      </c>
      <c r="J8" s="16" t="s">
        <v>90</v>
      </c>
    </row>
    <row r="9" spans="1:16" ht="15" thickBot="1" x14ac:dyDescent="0.35">
      <c r="A9" s="6" t="s">
        <v>10</v>
      </c>
      <c r="B9" s="9">
        <v>1</v>
      </c>
      <c r="C9" s="4">
        <v>1710.77</v>
      </c>
      <c r="E9" s="7" t="s">
        <v>19</v>
      </c>
      <c r="F9" s="1">
        <v>0.3</v>
      </c>
      <c r="G9" s="10">
        <v>3</v>
      </c>
      <c r="I9" s="15" t="s">
        <v>32</v>
      </c>
      <c r="J9" s="16" t="s">
        <v>91</v>
      </c>
    </row>
    <row r="10" spans="1:16" ht="15" thickBot="1" x14ac:dyDescent="0.35">
      <c r="C10" s="34"/>
      <c r="E10" s="7" t="s">
        <v>20</v>
      </c>
      <c r="F10" s="1">
        <v>0.2</v>
      </c>
      <c r="G10" s="10">
        <v>1</v>
      </c>
      <c r="I10" s="17" t="s">
        <v>33</v>
      </c>
      <c r="J10" s="18" t="s">
        <v>92</v>
      </c>
    </row>
    <row r="11" spans="1:16" ht="16.2" thickBot="1" x14ac:dyDescent="0.35">
      <c r="E11" s="9" t="s">
        <v>21</v>
      </c>
      <c r="F11" s="3">
        <v>0.3</v>
      </c>
      <c r="G11" s="11">
        <v>2.5</v>
      </c>
      <c r="N11" s="65"/>
      <c r="O11" s="65"/>
      <c r="P11" s="65"/>
    </row>
    <row r="12" spans="1:16" x14ac:dyDescent="0.3">
      <c r="N12" s="66"/>
      <c r="O12" s="66"/>
      <c r="P12" s="66"/>
    </row>
    <row r="13" spans="1:16" x14ac:dyDescent="0.3">
      <c r="N13" s="66"/>
      <c r="O13" s="66"/>
      <c r="P13" s="66"/>
    </row>
    <row r="14" spans="1:16" x14ac:dyDescent="0.3">
      <c r="N14" s="66"/>
      <c r="O14" s="66"/>
      <c r="P14" s="66"/>
    </row>
    <row r="15" spans="1:16" x14ac:dyDescent="0.3">
      <c r="N15" s="66"/>
      <c r="O15" s="66"/>
      <c r="P15" s="66"/>
    </row>
    <row r="16" spans="1:16" x14ac:dyDescent="0.3">
      <c r="N16" s="66"/>
      <c r="O16" s="66"/>
      <c r="P16" s="66"/>
    </row>
    <row r="17" spans="14:16" x14ac:dyDescent="0.3">
      <c r="N17" s="66"/>
      <c r="O17" s="66"/>
      <c r="P17" s="66"/>
    </row>
    <row r="18" spans="14:16" x14ac:dyDescent="0.3">
      <c r="N18" s="66"/>
      <c r="O18" s="66"/>
      <c r="P18" s="66"/>
    </row>
    <row r="19" spans="14:16" x14ac:dyDescent="0.3">
      <c r="N19" s="66"/>
      <c r="O19" s="66"/>
      <c r="P19" s="66"/>
    </row>
    <row r="20" spans="14:16" x14ac:dyDescent="0.3">
      <c r="N20" s="66"/>
      <c r="O20" s="66"/>
      <c r="P20" s="6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2D1EF-201C-4B9F-ACA0-678422ABAB18}">
  <dimension ref="A2:AA134"/>
  <sheetViews>
    <sheetView showGridLines="0" zoomScale="55" zoomScaleNormal="55" workbookViewId="0">
      <selection activeCell="A96" sqref="A96"/>
    </sheetView>
  </sheetViews>
  <sheetFormatPr defaultRowHeight="14.4" x14ac:dyDescent="0.3"/>
  <cols>
    <col min="1" max="1" width="13.6640625" style="49" bestFit="1" customWidth="1"/>
    <col min="2" max="2" width="6" style="35" bestFit="1" customWidth="1"/>
    <col min="3" max="3" width="18.44140625" style="35" customWidth="1"/>
    <col min="4" max="4" width="6.77734375" style="35" bestFit="1" customWidth="1"/>
    <col min="5" max="5" width="14.6640625" style="35" bestFit="1" customWidth="1"/>
    <col min="6" max="6" width="14.21875" style="35" bestFit="1" customWidth="1"/>
    <col min="7" max="7" width="6.77734375" style="35" bestFit="1" customWidth="1"/>
    <col min="8" max="8" width="14.6640625" style="35" bestFit="1" customWidth="1"/>
    <col min="9" max="9" width="14.21875" style="35" bestFit="1" customWidth="1"/>
    <col min="10" max="10" width="6.77734375" style="35" bestFit="1" customWidth="1"/>
    <col min="11" max="11" width="14.6640625" style="35" bestFit="1" customWidth="1"/>
    <col min="12" max="12" width="14.21875" style="35" bestFit="1" customWidth="1"/>
    <col min="13" max="13" width="6.77734375" style="35" bestFit="1" customWidth="1"/>
    <col min="14" max="14" width="14.6640625" style="35" bestFit="1" customWidth="1"/>
    <col min="15" max="15" width="14.21875" style="35" bestFit="1" customWidth="1"/>
    <col min="16" max="16" width="6.77734375" style="35" bestFit="1" customWidth="1"/>
    <col min="17" max="17" width="14.6640625" style="35" bestFit="1" customWidth="1"/>
    <col min="18" max="18" width="14.21875" style="35" bestFit="1" customWidth="1"/>
    <col min="19" max="19" width="6.77734375" style="35" bestFit="1" customWidth="1"/>
    <col min="20" max="20" width="14.6640625" style="35" bestFit="1" customWidth="1"/>
    <col min="21" max="21" width="14.21875" style="35" bestFit="1" customWidth="1"/>
    <col min="22" max="22" width="6.77734375" style="35" bestFit="1" customWidth="1"/>
    <col min="23" max="23" width="14.6640625" style="35" bestFit="1" customWidth="1"/>
    <col min="24" max="24" width="14.21875" style="35" bestFit="1" customWidth="1"/>
    <col min="25" max="25" width="6.77734375" style="35" bestFit="1" customWidth="1"/>
    <col min="26" max="26" width="14.6640625" style="35" bestFit="1" customWidth="1"/>
    <col min="27" max="27" width="14.21875" style="35" bestFit="1" customWidth="1"/>
    <col min="28" max="16384" width="8.88671875" style="35"/>
  </cols>
  <sheetData>
    <row r="2" spans="1:27" x14ac:dyDescent="0.3">
      <c r="A2" s="49" t="s">
        <v>24</v>
      </c>
      <c r="B2" s="36"/>
      <c r="C2" s="37"/>
      <c r="D2" s="67" t="s">
        <v>54</v>
      </c>
      <c r="E2" s="68"/>
      <c r="F2" s="69"/>
      <c r="G2" s="67" t="s">
        <v>55</v>
      </c>
      <c r="H2" s="68"/>
      <c r="I2" s="69"/>
      <c r="J2" s="67" t="s">
        <v>56</v>
      </c>
      <c r="K2" s="68"/>
      <c r="L2" s="69"/>
      <c r="M2" s="67" t="s">
        <v>57</v>
      </c>
      <c r="N2" s="68"/>
      <c r="O2" s="69"/>
      <c r="P2" s="67" t="s">
        <v>58</v>
      </c>
      <c r="Q2" s="68"/>
      <c r="R2" s="69"/>
      <c r="S2" s="67" t="s">
        <v>59</v>
      </c>
      <c r="T2" s="68"/>
      <c r="U2" s="69"/>
      <c r="V2" s="67" t="s">
        <v>60</v>
      </c>
      <c r="W2" s="68"/>
      <c r="X2" s="69"/>
      <c r="Y2" s="67" t="s">
        <v>61</v>
      </c>
      <c r="Z2" s="68"/>
      <c r="AA2" s="69"/>
    </row>
    <row r="3" spans="1:27" x14ac:dyDescent="0.3">
      <c r="B3" s="70" t="s">
        <v>50</v>
      </c>
      <c r="C3" s="71"/>
      <c r="D3" s="42" t="s">
        <v>53</v>
      </c>
      <c r="E3" s="35" t="s">
        <v>52</v>
      </c>
      <c r="F3" s="43" t="s">
        <v>51</v>
      </c>
      <c r="G3" s="42" t="s">
        <v>53</v>
      </c>
      <c r="H3" s="35" t="s">
        <v>52</v>
      </c>
      <c r="I3" s="43" t="s">
        <v>51</v>
      </c>
      <c r="J3" s="42" t="s">
        <v>53</v>
      </c>
      <c r="K3" s="35" t="s">
        <v>52</v>
      </c>
      <c r="L3" s="43" t="s">
        <v>51</v>
      </c>
      <c r="M3" s="42" t="s">
        <v>53</v>
      </c>
      <c r="N3" s="35" t="s">
        <v>52</v>
      </c>
      <c r="O3" s="43" t="s">
        <v>51</v>
      </c>
      <c r="P3" s="42" t="s">
        <v>53</v>
      </c>
      <c r="Q3" s="35" t="s">
        <v>52</v>
      </c>
      <c r="R3" s="43" t="s">
        <v>51</v>
      </c>
      <c r="S3" s="42" t="s">
        <v>53</v>
      </c>
      <c r="T3" s="35" t="s">
        <v>52</v>
      </c>
      <c r="U3" s="43" t="s">
        <v>51</v>
      </c>
      <c r="V3" s="42" t="s">
        <v>53</v>
      </c>
      <c r="W3" s="35" t="s">
        <v>52</v>
      </c>
      <c r="X3" s="43" t="s">
        <v>51</v>
      </c>
      <c r="Y3" s="42" t="s">
        <v>53</v>
      </c>
      <c r="Z3" s="35" t="s">
        <v>52</v>
      </c>
      <c r="AA3" s="43" t="s">
        <v>51</v>
      </c>
    </row>
    <row r="4" spans="1:27" x14ac:dyDescent="0.3">
      <c r="B4" s="72" t="s">
        <v>62</v>
      </c>
      <c r="C4" s="43" t="str" cm="1">
        <f t="array" ref="C4:C13">'DATA AND SCENARIO'!$E$2:$E$11</f>
        <v>A-B</v>
      </c>
      <c r="D4" s="42" cm="1">
        <f t="array" ref="D4:D13">'DATA AND SCENARIO'!$F$2:$F$11</f>
        <v>0.6</v>
      </c>
      <c r="E4" s="35">
        <v>2.5</v>
      </c>
      <c r="F4" s="43">
        <f>D4*E4</f>
        <v>1.5</v>
      </c>
      <c r="G4" s="42" cm="1">
        <f t="array" ref="G4:G13">'DATA AND SCENARIO'!$F$2:$F$11</f>
        <v>0.6</v>
      </c>
      <c r="H4" s="35">
        <v>2.5</v>
      </c>
      <c r="I4" s="43">
        <f>G4*H4</f>
        <v>1.5</v>
      </c>
      <c r="J4" s="42" cm="1">
        <f t="array" ref="J4:J13">'DATA AND SCENARIO'!$F$2:$F$11</f>
        <v>0.6</v>
      </c>
      <c r="K4" s="35">
        <v>2.5</v>
      </c>
      <c r="L4" s="43">
        <f>J4*K4</f>
        <v>1.5</v>
      </c>
      <c r="M4" s="42" cm="1">
        <f t="array" ref="M4:M13">'DATA AND SCENARIO'!$F$2:$F$11</f>
        <v>0.6</v>
      </c>
      <c r="N4" s="35">
        <v>2.5</v>
      </c>
      <c r="O4" s="43">
        <f>M4*N4</f>
        <v>1.5</v>
      </c>
      <c r="P4" s="42" cm="1">
        <f t="array" ref="P4:P13">'DATA AND SCENARIO'!$F$2:$F$11</f>
        <v>0.6</v>
      </c>
      <c r="Q4" s="35">
        <v>2.5</v>
      </c>
      <c r="R4" s="43">
        <f>P4*Q4</f>
        <v>1.5</v>
      </c>
      <c r="S4" s="42" cm="1">
        <f t="array" ref="S4:S13">'DATA AND SCENARIO'!$F$2:$F$11</f>
        <v>0.6</v>
      </c>
      <c r="T4" s="35">
        <v>2.5</v>
      </c>
      <c r="U4" s="43">
        <f>S4*T4</f>
        <v>1.5</v>
      </c>
      <c r="V4" s="42" cm="1">
        <f t="array" ref="V4:V13">'DATA AND SCENARIO'!$F$2:$F$11</f>
        <v>0.6</v>
      </c>
      <c r="W4" s="35">
        <v>2.5</v>
      </c>
      <c r="X4" s="43">
        <f>V4*W4</f>
        <v>1.5</v>
      </c>
      <c r="Y4" s="42" cm="1">
        <f t="array" ref="Y4:Y13">'DATA AND SCENARIO'!$F$2:$F$11</f>
        <v>0.6</v>
      </c>
      <c r="Z4" s="35">
        <v>2.5</v>
      </c>
      <c r="AA4" s="43">
        <f>Y4*Z4</f>
        <v>1.5</v>
      </c>
    </row>
    <row r="5" spans="1:27" x14ac:dyDescent="0.3">
      <c r="B5" s="72"/>
      <c r="C5" s="43" t="str">
        <v>B-C</v>
      </c>
      <c r="D5" s="42">
        <v>0.4</v>
      </c>
      <c r="E5" s="35">
        <v>2</v>
      </c>
      <c r="F5" s="43">
        <f t="shared" ref="F5:F12" si="0">D5*E5</f>
        <v>0.8</v>
      </c>
      <c r="G5" s="42">
        <v>0.4</v>
      </c>
      <c r="H5" s="35">
        <v>2</v>
      </c>
      <c r="I5" s="43">
        <f t="shared" ref="I5:I13" si="1">G5*H5</f>
        <v>0.8</v>
      </c>
      <c r="J5" s="42">
        <v>0.4</v>
      </c>
      <c r="K5" s="35">
        <v>2</v>
      </c>
      <c r="L5" s="43">
        <f t="shared" ref="L5:L13" si="2">J5*K5</f>
        <v>0.8</v>
      </c>
      <c r="M5" s="42">
        <v>0.4</v>
      </c>
      <c r="N5" s="35">
        <v>2</v>
      </c>
      <c r="O5" s="43">
        <f t="shared" ref="O5:O13" si="3">M5*N5</f>
        <v>0.8</v>
      </c>
      <c r="P5" s="42">
        <v>0.4</v>
      </c>
      <c r="Q5" s="35">
        <v>2</v>
      </c>
      <c r="R5" s="43">
        <f t="shared" ref="R5:R13" si="4">P5*Q5</f>
        <v>0.8</v>
      </c>
      <c r="S5" s="42">
        <v>0.4</v>
      </c>
      <c r="T5" s="35">
        <v>2</v>
      </c>
      <c r="U5" s="43">
        <f t="shared" ref="U5:U13" si="5">S5*T5</f>
        <v>0.8</v>
      </c>
      <c r="V5" s="42">
        <v>0.4</v>
      </c>
      <c r="W5" s="35">
        <v>2</v>
      </c>
      <c r="X5" s="43">
        <f t="shared" ref="X5:X13" si="6">V5*W5</f>
        <v>0.8</v>
      </c>
      <c r="Y5" s="42">
        <v>0.4</v>
      </c>
      <c r="Z5" s="35">
        <v>2</v>
      </c>
      <c r="AA5" s="43">
        <f t="shared" ref="AA5:AA13" si="7">Y5*Z5</f>
        <v>0.8</v>
      </c>
    </row>
    <row r="6" spans="1:27" x14ac:dyDescent="0.3">
      <c r="B6" s="72"/>
      <c r="C6" s="43" t="str">
        <v>C-D</v>
      </c>
      <c r="D6" s="42">
        <v>0.4</v>
      </c>
      <c r="E6" s="35">
        <v>2</v>
      </c>
      <c r="F6" s="43">
        <f t="shared" si="0"/>
        <v>0.8</v>
      </c>
      <c r="G6" s="42">
        <v>0.4</v>
      </c>
      <c r="H6" s="35">
        <v>2</v>
      </c>
      <c r="I6" s="43">
        <f t="shared" si="1"/>
        <v>0.8</v>
      </c>
      <c r="J6" s="42">
        <v>0.4</v>
      </c>
      <c r="K6" s="35">
        <v>2</v>
      </c>
      <c r="L6" s="43">
        <f t="shared" si="2"/>
        <v>0.8</v>
      </c>
      <c r="M6" s="42">
        <v>0.4</v>
      </c>
      <c r="N6" s="35">
        <v>2</v>
      </c>
      <c r="O6" s="43">
        <f t="shared" si="3"/>
        <v>0.8</v>
      </c>
      <c r="P6" s="42">
        <v>0.4</v>
      </c>
      <c r="Q6" s="35">
        <v>2</v>
      </c>
      <c r="R6" s="43">
        <f t="shared" si="4"/>
        <v>0.8</v>
      </c>
      <c r="S6" s="42">
        <v>0.4</v>
      </c>
      <c r="T6" s="35">
        <v>2</v>
      </c>
      <c r="U6" s="43">
        <f t="shared" si="5"/>
        <v>0.8</v>
      </c>
      <c r="V6" s="42">
        <v>0.4</v>
      </c>
      <c r="W6" s="35">
        <v>2</v>
      </c>
      <c r="X6" s="43">
        <f t="shared" si="6"/>
        <v>0.8</v>
      </c>
      <c r="Y6" s="42">
        <v>0.4</v>
      </c>
      <c r="Z6" s="35">
        <v>2</v>
      </c>
      <c r="AA6" s="43">
        <f t="shared" si="7"/>
        <v>0.8</v>
      </c>
    </row>
    <row r="7" spans="1:27" x14ac:dyDescent="0.3">
      <c r="B7" s="72"/>
      <c r="C7" s="43" t="str">
        <v>B-E</v>
      </c>
      <c r="D7" s="42">
        <v>0.3</v>
      </c>
      <c r="E7" s="35">
        <v>4</v>
      </c>
      <c r="F7" s="43">
        <f t="shared" si="0"/>
        <v>1.2</v>
      </c>
      <c r="G7" s="42">
        <v>0.3</v>
      </c>
      <c r="H7" s="35">
        <v>4</v>
      </c>
      <c r="I7" s="43">
        <f t="shared" si="1"/>
        <v>1.2</v>
      </c>
      <c r="J7" s="42">
        <v>0.3</v>
      </c>
      <c r="K7" s="35">
        <v>4</v>
      </c>
      <c r="L7" s="43">
        <f t="shared" si="2"/>
        <v>1.2</v>
      </c>
      <c r="M7" s="42">
        <v>0.3</v>
      </c>
      <c r="N7" s="35">
        <v>4</v>
      </c>
      <c r="O7" s="43">
        <f t="shared" si="3"/>
        <v>1.2</v>
      </c>
      <c r="P7" s="42">
        <v>0.3</v>
      </c>
      <c r="Q7" s="35">
        <v>4</v>
      </c>
      <c r="R7" s="43">
        <f t="shared" si="4"/>
        <v>1.2</v>
      </c>
      <c r="S7" s="42">
        <v>0.3</v>
      </c>
      <c r="T7" s="35">
        <v>4</v>
      </c>
      <c r="U7" s="43">
        <f t="shared" si="5"/>
        <v>1.2</v>
      </c>
      <c r="V7" s="42">
        <v>0.3</v>
      </c>
      <c r="W7" s="35">
        <v>4</v>
      </c>
      <c r="X7" s="43">
        <f t="shared" si="6"/>
        <v>1.2</v>
      </c>
      <c r="Y7" s="42">
        <v>0.3</v>
      </c>
      <c r="Z7" s="35">
        <v>4</v>
      </c>
      <c r="AA7" s="43">
        <f t="shared" si="7"/>
        <v>1.2</v>
      </c>
    </row>
    <row r="8" spans="1:27" x14ac:dyDescent="0.3">
      <c r="B8" s="72"/>
      <c r="C8" s="43" t="str">
        <v>E-F</v>
      </c>
      <c r="D8" s="42">
        <v>0.3</v>
      </c>
      <c r="E8" s="35">
        <v>3</v>
      </c>
      <c r="F8" s="43">
        <f t="shared" si="0"/>
        <v>0.89999999999999991</v>
      </c>
      <c r="G8" s="42">
        <v>0.3</v>
      </c>
      <c r="H8" s="35">
        <v>3</v>
      </c>
      <c r="I8" s="43">
        <f t="shared" si="1"/>
        <v>0.89999999999999991</v>
      </c>
      <c r="J8" s="42">
        <v>0.3</v>
      </c>
      <c r="K8" s="35">
        <v>3</v>
      </c>
      <c r="L8" s="43">
        <f t="shared" si="2"/>
        <v>0.89999999999999991</v>
      </c>
      <c r="M8" s="42">
        <v>0.3</v>
      </c>
      <c r="N8" s="35">
        <v>3</v>
      </c>
      <c r="O8" s="43">
        <f t="shared" si="3"/>
        <v>0.89999999999999991</v>
      </c>
      <c r="P8" s="42">
        <v>0.3</v>
      </c>
      <c r="Q8" s="35">
        <v>3</v>
      </c>
      <c r="R8" s="43">
        <f t="shared" si="4"/>
        <v>0.89999999999999991</v>
      </c>
      <c r="S8" s="42">
        <v>0.3</v>
      </c>
      <c r="T8" s="35">
        <v>3</v>
      </c>
      <c r="U8" s="43">
        <f t="shared" si="5"/>
        <v>0.89999999999999991</v>
      </c>
      <c r="V8" s="42">
        <v>0.3</v>
      </c>
      <c r="W8" s="35">
        <v>3</v>
      </c>
      <c r="X8" s="43">
        <f t="shared" si="6"/>
        <v>0.89999999999999991</v>
      </c>
      <c r="Y8" s="42">
        <v>0.3</v>
      </c>
      <c r="Z8" s="35">
        <v>3</v>
      </c>
      <c r="AA8" s="43">
        <f t="shared" si="7"/>
        <v>0.89999999999999991</v>
      </c>
    </row>
    <row r="9" spans="1:27" x14ac:dyDescent="0.3">
      <c r="B9" s="72"/>
      <c r="C9" s="43" t="str">
        <v>F-G</v>
      </c>
      <c r="D9" s="42">
        <v>0.6</v>
      </c>
      <c r="E9" s="35">
        <v>2.5</v>
      </c>
      <c r="F9" s="43">
        <f t="shared" si="0"/>
        <v>1.5</v>
      </c>
      <c r="G9" s="42">
        <v>0.6</v>
      </c>
      <c r="H9" s="35">
        <v>2.5</v>
      </c>
      <c r="I9" s="43">
        <f t="shared" si="1"/>
        <v>1.5</v>
      </c>
      <c r="J9" s="42">
        <v>0.6</v>
      </c>
      <c r="K9" s="35">
        <v>2.5</v>
      </c>
      <c r="L9" s="43">
        <f t="shared" si="2"/>
        <v>1.5</v>
      </c>
      <c r="M9" s="42">
        <v>0.6</v>
      </c>
      <c r="N9" s="35">
        <v>2.5</v>
      </c>
      <c r="O9" s="43">
        <f t="shared" si="3"/>
        <v>1.5</v>
      </c>
      <c r="P9" s="42">
        <v>0.6</v>
      </c>
      <c r="Q9" s="35">
        <v>2.5</v>
      </c>
      <c r="R9" s="43">
        <f t="shared" si="4"/>
        <v>1.5</v>
      </c>
      <c r="S9" s="42">
        <v>0.6</v>
      </c>
      <c r="T9" s="35">
        <v>2.5</v>
      </c>
      <c r="U9" s="43">
        <f t="shared" si="5"/>
        <v>1.5</v>
      </c>
      <c r="V9" s="42">
        <v>0.6</v>
      </c>
      <c r="W9" s="35">
        <v>2.5</v>
      </c>
      <c r="X9" s="43">
        <f t="shared" si="6"/>
        <v>1.5</v>
      </c>
      <c r="Y9" s="42">
        <v>0.6</v>
      </c>
      <c r="Z9" s="35">
        <v>2.5</v>
      </c>
      <c r="AA9" s="43">
        <f t="shared" si="7"/>
        <v>1.5</v>
      </c>
    </row>
    <row r="10" spans="1:27" x14ac:dyDescent="0.3">
      <c r="B10" s="72"/>
      <c r="C10" s="43" t="str">
        <v>F-H</v>
      </c>
      <c r="D10" s="42">
        <v>0.5</v>
      </c>
      <c r="E10" s="35">
        <v>3</v>
      </c>
      <c r="F10" s="43">
        <f t="shared" si="0"/>
        <v>1.5</v>
      </c>
      <c r="G10" s="42">
        <v>0.5</v>
      </c>
      <c r="H10" s="35">
        <v>3</v>
      </c>
      <c r="I10" s="43">
        <f t="shared" si="1"/>
        <v>1.5</v>
      </c>
      <c r="J10" s="42">
        <v>0.5</v>
      </c>
      <c r="K10" s="35">
        <v>3</v>
      </c>
      <c r="L10" s="43">
        <f t="shared" si="2"/>
        <v>1.5</v>
      </c>
      <c r="M10" s="42">
        <v>0.5</v>
      </c>
      <c r="N10" s="35">
        <v>3</v>
      </c>
      <c r="O10" s="43">
        <f t="shared" si="3"/>
        <v>1.5</v>
      </c>
      <c r="P10" s="42">
        <v>0.5</v>
      </c>
      <c r="Q10" s="35">
        <v>3</v>
      </c>
      <c r="R10" s="43">
        <f t="shared" si="4"/>
        <v>1.5</v>
      </c>
      <c r="S10" s="42">
        <v>0.5</v>
      </c>
      <c r="T10" s="35">
        <v>3</v>
      </c>
      <c r="U10" s="43">
        <f t="shared" si="5"/>
        <v>1.5</v>
      </c>
      <c r="V10" s="42">
        <v>0.5</v>
      </c>
      <c r="W10" s="35">
        <v>3</v>
      </c>
      <c r="X10" s="43">
        <f t="shared" si="6"/>
        <v>1.5</v>
      </c>
      <c r="Y10" s="42">
        <v>0.5</v>
      </c>
      <c r="Z10" s="35">
        <v>3</v>
      </c>
      <c r="AA10" s="43">
        <f t="shared" si="7"/>
        <v>1.5</v>
      </c>
    </row>
    <row r="11" spans="1:27" x14ac:dyDescent="0.3">
      <c r="B11" s="72"/>
      <c r="C11" s="43" t="str">
        <v>H-I</v>
      </c>
      <c r="D11" s="42">
        <v>0.3</v>
      </c>
      <c r="E11" s="35">
        <v>3</v>
      </c>
      <c r="F11" s="43">
        <f t="shared" si="0"/>
        <v>0.89999999999999991</v>
      </c>
      <c r="G11" s="42">
        <v>0.3</v>
      </c>
      <c r="H11" s="35">
        <v>3</v>
      </c>
      <c r="I11" s="43">
        <f t="shared" si="1"/>
        <v>0.89999999999999991</v>
      </c>
      <c r="J11" s="42">
        <v>0.3</v>
      </c>
      <c r="K11" s="35">
        <v>3</v>
      </c>
      <c r="L11" s="43">
        <f t="shared" si="2"/>
        <v>0.89999999999999991</v>
      </c>
      <c r="M11" s="42">
        <v>0.3</v>
      </c>
      <c r="N11" s="35">
        <v>3</v>
      </c>
      <c r="O11" s="43">
        <f t="shared" si="3"/>
        <v>0.89999999999999991</v>
      </c>
      <c r="P11" s="42">
        <v>0.3</v>
      </c>
      <c r="Q11" s="35">
        <v>3</v>
      </c>
      <c r="R11" s="43">
        <f t="shared" si="4"/>
        <v>0.89999999999999991</v>
      </c>
      <c r="S11" s="42">
        <v>0.3</v>
      </c>
      <c r="T11" s="35">
        <v>3</v>
      </c>
      <c r="U11" s="43">
        <f t="shared" si="5"/>
        <v>0.89999999999999991</v>
      </c>
      <c r="V11" s="42">
        <v>0.3</v>
      </c>
      <c r="W11" s="35">
        <v>3</v>
      </c>
      <c r="X11" s="43">
        <f t="shared" si="6"/>
        <v>0.89999999999999991</v>
      </c>
      <c r="Y11" s="42">
        <v>0.3</v>
      </c>
      <c r="Z11" s="35">
        <v>3</v>
      </c>
      <c r="AA11" s="43">
        <f t="shared" si="7"/>
        <v>0.89999999999999991</v>
      </c>
    </row>
    <row r="12" spans="1:27" x14ac:dyDescent="0.3">
      <c r="B12" s="72"/>
      <c r="C12" s="43" t="str">
        <v>I-J</v>
      </c>
      <c r="D12" s="42">
        <v>0.2</v>
      </c>
      <c r="E12" s="35">
        <v>1</v>
      </c>
      <c r="F12" s="43">
        <f t="shared" si="0"/>
        <v>0.2</v>
      </c>
      <c r="G12" s="42">
        <v>0.2</v>
      </c>
      <c r="H12" s="35">
        <v>1</v>
      </c>
      <c r="I12" s="43">
        <f t="shared" si="1"/>
        <v>0.2</v>
      </c>
      <c r="J12" s="42">
        <v>0.2</v>
      </c>
      <c r="K12" s="35">
        <v>1</v>
      </c>
      <c r="L12" s="43">
        <f t="shared" si="2"/>
        <v>0.2</v>
      </c>
      <c r="M12" s="42">
        <v>0.2</v>
      </c>
      <c r="N12" s="35">
        <v>1</v>
      </c>
      <c r="O12" s="43">
        <f t="shared" si="3"/>
        <v>0.2</v>
      </c>
      <c r="P12" s="42">
        <v>0.2</v>
      </c>
      <c r="Q12" s="35">
        <v>1</v>
      </c>
      <c r="R12" s="43">
        <f t="shared" si="4"/>
        <v>0.2</v>
      </c>
      <c r="S12" s="42">
        <v>0.2</v>
      </c>
      <c r="T12" s="35">
        <v>1</v>
      </c>
      <c r="U12" s="43">
        <f t="shared" si="5"/>
        <v>0.2</v>
      </c>
      <c r="V12" s="42">
        <v>0.2</v>
      </c>
      <c r="W12" s="35">
        <v>1</v>
      </c>
      <c r="X12" s="43">
        <f t="shared" si="6"/>
        <v>0.2</v>
      </c>
      <c r="Y12" s="42">
        <v>0.2</v>
      </c>
      <c r="Z12" s="35">
        <v>1</v>
      </c>
      <c r="AA12" s="43">
        <f t="shared" si="7"/>
        <v>0.2</v>
      </c>
    </row>
    <row r="13" spans="1:27" x14ac:dyDescent="0.3">
      <c r="B13" s="73"/>
      <c r="C13" s="44" t="str">
        <v>I-K</v>
      </c>
      <c r="D13" s="45">
        <v>0.3</v>
      </c>
      <c r="E13" s="46">
        <v>2.5</v>
      </c>
      <c r="F13" s="44">
        <f>D13*E13</f>
        <v>0.75</v>
      </c>
      <c r="G13" s="45">
        <v>0.3</v>
      </c>
      <c r="H13" s="46">
        <v>2.5</v>
      </c>
      <c r="I13" s="44">
        <f t="shared" si="1"/>
        <v>0.75</v>
      </c>
      <c r="J13" s="45">
        <v>0.3</v>
      </c>
      <c r="K13" s="46">
        <v>2.5</v>
      </c>
      <c r="L13" s="44">
        <f t="shared" si="2"/>
        <v>0.75</v>
      </c>
      <c r="M13" s="45">
        <v>0.3</v>
      </c>
      <c r="N13" s="46">
        <v>2.5</v>
      </c>
      <c r="O13" s="44">
        <f t="shared" si="3"/>
        <v>0.75</v>
      </c>
      <c r="P13" s="45">
        <v>0.3</v>
      </c>
      <c r="Q13" s="46">
        <v>2.5</v>
      </c>
      <c r="R13" s="44">
        <f t="shared" si="4"/>
        <v>0.75</v>
      </c>
      <c r="S13" s="45">
        <v>0.3</v>
      </c>
      <c r="T13" s="46">
        <v>2.5</v>
      </c>
      <c r="U13" s="44">
        <f t="shared" si="5"/>
        <v>0.75</v>
      </c>
      <c r="V13" s="45">
        <v>0.3</v>
      </c>
      <c r="W13" s="46">
        <v>2.5</v>
      </c>
      <c r="X13" s="44">
        <f t="shared" si="6"/>
        <v>0.75</v>
      </c>
      <c r="Y13" s="45">
        <v>0.3</v>
      </c>
      <c r="Z13" s="46">
        <v>2.5</v>
      </c>
      <c r="AA13" s="44">
        <f t="shared" si="7"/>
        <v>0.75</v>
      </c>
    </row>
    <row r="14" spans="1:27" x14ac:dyDescent="0.3">
      <c r="C14" s="35" t="s">
        <v>63</v>
      </c>
      <c r="D14" s="35">
        <f>SUM(_xlfn.ANCHORARRAY(D4))</f>
        <v>3.9</v>
      </c>
      <c r="E14" s="35">
        <f>F14/D14</f>
        <v>2.5769230769230766</v>
      </c>
      <c r="F14" s="35">
        <f>SUM(F4:F13)</f>
        <v>10.049999999999999</v>
      </c>
      <c r="G14" s="35">
        <f t="shared" ref="G14" si="8">SUM(_xlfn.ANCHORARRAY(G4))</f>
        <v>3.9</v>
      </c>
      <c r="H14" s="35">
        <f t="shared" ref="H14" si="9">I14/G14</f>
        <v>2.5769230769230766</v>
      </c>
      <c r="I14" s="35">
        <f>SUM(I4:I13)</f>
        <v>10.049999999999999</v>
      </c>
      <c r="J14" s="35">
        <f t="shared" ref="J14" si="10">SUM(_xlfn.ANCHORARRAY(J4))</f>
        <v>3.9</v>
      </c>
      <c r="K14" s="35">
        <f t="shared" ref="K14" si="11">L14/J14</f>
        <v>2.5769230769230766</v>
      </c>
      <c r="L14" s="35">
        <f>SUM(L4:L13)</f>
        <v>10.049999999999999</v>
      </c>
      <c r="M14" s="35">
        <f t="shared" ref="M14" si="12">SUM(_xlfn.ANCHORARRAY(M4))</f>
        <v>3.9</v>
      </c>
      <c r="N14" s="35">
        <f t="shared" ref="N14" si="13">O14/M14</f>
        <v>2.5769230769230766</v>
      </c>
      <c r="O14" s="35">
        <f>SUM(O4:O13)</f>
        <v>10.049999999999999</v>
      </c>
      <c r="P14" s="35">
        <f t="shared" ref="P14" si="14">SUM(_xlfn.ANCHORARRAY(P4))</f>
        <v>3.9</v>
      </c>
      <c r="Q14" s="35">
        <f t="shared" ref="Q14" si="15">R14/P14</f>
        <v>2.5769230769230766</v>
      </c>
      <c r="R14" s="35">
        <f>SUM(R4:R13)</f>
        <v>10.049999999999999</v>
      </c>
      <c r="S14" s="35">
        <f>SUM(_xlfn.ANCHORARRAY(S4))</f>
        <v>3.9</v>
      </c>
      <c r="T14" s="35">
        <f t="shared" ref="T14" si="16">U14/S14</f>
        <v>2.5769230769230766</v>
      </c>
      <c r="U14" s="35">
        <f>SUM(U4:U13)</f>
        <v>10.049999999999999</v>
      </c>
      <c r="V14" s="35">
        <f t="shared" ref="V14" si="17">SUM(_xlfn.ANCHORARRAY(V4))</f>
        <v>3.9</v>
      </c>
      <c r="W14" s="35">
        <f t="shared" ref="W14" si="18">X14/V14</f>
        <v>2.5769230769230766</v>
      </c>
      <c r="X14" s="35">
        <f>SUM(X4:X13)</f>
        <v>10.049999999999999</v>
      </c>
      <c r="Y14" s="35">
        <f>SUM(_xlfn.ANCHORARRAY(Y4))</f>
        <v>3.9</v>
      </c>
      <c r="Z14" s="35">
        <f t="shared" ref="Z14" si="19">AA14/Y14</f>
        <v>2.5769230769230766</v>
      </c>
      <c r="AA14" s="35">
        <f>SUM(AA4:AA13)</f>
        <v>10.049999999999999</v>
      </c>
    </row>
    <row r="17" spans="1:27" x14ac:dyDescent="0.3">
      <c r="A17" s="49" t="s">
        <v>64</v>
      </c>
      <c r="B17" s="36"/>
      <c r="C17" s="37"/>
      <c r="D17" s="67" t="s">
        <v>54</v>
      </c>
      <c r="E17" s="68"/>
      <c r="F17" s="69"/>
      <c r="G17" s="67" t="s">
        <v>55</v>
      </c>
      <c r="H17" s="68"/>
      <c r="I17" s="69"/>
      <c r="J17" s="67" t="s">
        <v>56</v>
      </c>
      <c r="K17" s="68"/>
      <c r="L17" s="69"/>
      <c r="M17" s="67" t="s">
        <v>57</v>
      </c>
      <c r="N17" s="68"/>
      <c r="O17" s="69"/>
      <c r="P17" s="67" t="s">
        <v>58</v>
      </c>
      <c r="Q17" s="68"/>
      <c r="R17" s="69"/>
      <c r="S17" s="67" t="s">
        <v>59</v>
      </c>
      <c r="T17" s="68"/>
      <c r="U17" s="69"/>
      <c r="V17" s="67" t="s">
        <v>60</v>
      </c>
      <c r="W17" s="68"/>
      <c r="X17" s="69"/>
      <c r="Y17" s="67" t="s">
        <v>61</v>
      </c>
      <c r="Z17" s="68"/>
      <c r="AA17" s="69"/>
    </row>
    <row r="18" spans="1:27" x14ac:dyDescent="0.3">
      <c r="B18" s="70" t="s">
        <v>50</v>
      </c>
      <c r="C18" s="71"/>
      <c r="D18" s="42" t="s">
        <v>53</v>
      </c>
      <c r="E18" s="35" t="s">
        <v>52</v>
      </c>
      <c r="F18" s="43" t="s">
        <v>51</v>
      </c>
      <c r="G18" s="42" t="s">
        <v>53</v>
      </c>
      <c r="H18" s="35" t="s">
        <v>52</v>
      </c>
      <c r="I18" s="43" t="s">
        <v>51</v>
      </c>
      <c r="J18" s="42" t="s">
        <v>53</v>
      </c>
      <c r="K18" s="35" t="s">
        <v>52</v>
      </c>
      <c r="L18" s="43" t="s">
        <v>51</v>
      </c>
      <c r="M18" s="42" t="s">
        <v>53</v>
      </c>
      <c r="N18" s="35" t="s">
        <v>52</v>
      </c>
      <c r="O18" s="43" t="s">
        <v>51</v>
      </c>
      <c r="P18" s="42" t="s">
        <v>53</v>
      </c>
      <c r="Q18" s="35" t="s">
        <v>52</v>
      </c>
      <c r="R18" s="43" t="s">
        <v>51</v>
      </c>
      <c r="S18" s="42" t="s">
        <v>53</v>
      </c>
      <c r="T18" s="35" t="s">
        <v>52</v>
      </c>
      <c r="U18" s="43" t="s">
        <v>51</v>
      </c>
      <c r="V18" s="42" t="s">
        <v>53</v>
      </c>
      <c r="W18" s="35" t="s">
        <v>52</v>
      </c>
      <c r="X18" s="43" t="s">
        <v>51</v>
      </c>
      <c r="Y18" s="42" t="s">
        <v>53</v>
      </c>
      <c r="Z18" s="35" t="s">
        <v>52</v>
      </c>
      <c r="AA18" s="43" t="s">
        <v>51</v>
      </c>
    </row>
    <row r="19" spans="1:27" ht="14.4" customHeight="1" x14ac:dyDescent="0.3">
      <c r="B19" s="72" t="s">
        <v>62</v>
      </c>
      <c r="C19" s="43" t="str" cm="1">
        <f t="array" ref="C19:C28">'DATA AND SCENARIO'!$E$2:$E$11</f>
        <v>A-B</v>
      </c>
      <c r="D19" s="42" cm="1">
        <f t="array" ref="D19:D28">'DATA AND SCENARIO'!$F$2:$F$11</f>
        <v>0.6</v>
      </c>
      <c r="E19" s="35">
        <v>2.5</v>
      </c>
      <c r="F19" s="43">
        <f>D19*E19</f>
        <v>1.5</v>
      </c>
      <c r="G19" s="42" cm="1">
        <f t="array" ref="G19:G28">'DATA AND SCENARIO'!$F$2:$F$11</f>
        <v>0.6</v>
      </c>
      <c r="H19" s="35">
        <v>2.5</v>
      </c>
      <c r="I19" s="43">
        <f>G19*H19</f>
        <v>1.5</v>
      </c>
      <c r="J19" s="42" cm="1">
        <f t="array" ref="J19:J28">'DATA AND SCENARIO'!$F$2:$F$11</f>
        <v>0.6</v>
      </c>
      <c r="K19" s="35">
        <v>2.5</v>
      </c>
      <c r="L19" s="43">
        <f>J19*K19</f>
        <v>1.5</v>
      </c>
      <c r="M19" s="42" cm="1">
        <f t="array" ref="M19:M28">'DATA AND SCENARIO'!$F$2:$F$11</f>
        <v>0.6</v>
      </c>
      <c r="N19" s="35">
        <v>2.5</v>
      </c>
      <c r="O19" s="43">
        <f>M19*N19</f>
        <v>1.5</v>
      </c>
      <c r="P19" s="42" cm="1">
        <f t="array" ref="P19:P28">'DATA AND SCENARIO'!$F$2:$F$11</f>
        <v>0.6</v>
      </c>
      <c r="Q19" s="35">
        <v>2.5</v>
      </c>
      <c r="R19" s="43">
        <f>P19*Q19</f>
        <v>1.5</v>
      </c>
      <c r="S19" s="42" cm="1">
        <f t="array" ref="S19:S28">'DATA AND SCENARIO'!$F$2:$F$11</f>
        <v>0.6</v>
      </c>
      <c r="T19" s="35">
        <v>2.5</v>
      </c>
      <c r="U19" s="43">
        <f>S19*T19</f>
        <v>1.5</v>
      </c>
      <c r="V19" s="42" cm="1">
        <f t="array" ref="V19:V28">'DATA AND SCENARIO'!$F$2:$F$11</f>
        <v>0.6</v>
      </c>
      <c r="W19" s="35">
        <v>2.5</v>
      </c>
      <c r="X19" s="43">
        <f>V19*W19</f>
        <v>1.5</v>
      </c>
      <c r="Y19" s="42" cm="1">
        <f t="array" ref="Y19:Y28">'DATA AND SCENARIO'!$F$2:$F$11</f>
        <v>0.6</v>
      </c>
      <c r="Z19" s="35">
        <v>2.5</v>
      </c>
      <c r="AA19" s="43">
        <f>Y19*Z19</f>
        <v>1.5</v>
      </c>
    </row>
    <row r="20" spans="1:27" x14ac:dyDescent="0.3">
      <c r="B20" s="72"/>
      <c r="C20" s="43" t="str">
        <v>B-C</v>
      </c>
      <c r="D20" s="42">
        <v>0.4</v>
      </c>
      <c r="E20" s="35">
        <v>0.33300000000000002</v>
      </c>
      <c r="F20" s="43">
        <f t="shared" ref="F20:F28" si="20">D20*E20</f>
        <v>0.13320000000000001</v>
      </c>
      <c r="G20" s="42">
        <v>0.4</v>
      </c>
      <c r="H20" s="35">
        <v>2</v>
      </c>
      <c r="I20" s="43">
        <f t="shared" ref="I20:I28" si="21">G20*H20</f>
        <v>0.8</v>
      </c>
      <c r="J20" s="42">
        <v>0.4</v>
      </c>
      <c r="K20" s="35">
        <v>2</v>
      </c>
      <c r="L20" s="43">
        <f t="shared" ref="L20:L28" si="22">J20*K20</f>
        <v>0.8</v>
      </c>
      <c r="M20" s="42">
        <v>0.4</v>
      </c>
      <c r="N20" s="35">
        <v>0.33300000000000002</v>
      </c>
      <c r="O20" s="43">
        <f t="shared" ref="O20:O28" si="23">M20*N20</f>
        <v>0.13320000000000001</v>
      </c>
      <c r="P20" s="42">
        <v>0.4</v>
      </c>
      <c r="Q20" s="35">
        <v>0.33300000000000002</v>
      </c>
      <c r="R20" s="43">
        <f t="shared" ref="R20:R28" si="24">P20*Q20</f>
        <v>0.13320000000000001</v>
      </c>
      <c r="S20" s="42">
        <v>0.4</v>
      </c>
      <c r="T20" s="35">
        <v>0.33300000000000002</v>
      </c>
      <c r="U20" s="43">
        <f t="shared" ref="U20:U28" si="25">S20*T20</f>
        <v>0.13320000000000001</v>
      </c>
      <c r="V20" s="42">
        <v>0.4</v>
      </c>
      <c r="W20" s="35">
        <v>0.33300000000000002</v>
      </c>
      <c r="X20" s="43">
        <f t="shared" ref="X20:X28" si="26">V20*W20</f>
        <v>0.13320000000000001</v>
      </c>
      <c r="Y20" s="42">
        <v>0.4</v>
      </c>
      <c r="Z20" s="35">
        <v>0.33300000000000002</v>
      </c>
      <c r="AA20" s="43">
        <f t="shared" ref="AA20:AA27" si="27">Y20*Z20</f>
        <v>0.13320000000000001</v>
      </c>
    </row>
    <row r="21" spans="1:27" x14ac:dyDescent="0.3">
      <c r="B21" s="72"/>
      <c r="C21" s="43" t="str">
        <v>C-D</v>
      </c>
      <c r="D21" s="42">
        <v>0.4</v>
      </c>
      <c r="E21" s="35">
        <v>0.33300000000000002</v>
      </c>
      <c r="F21" s="43">
        <f t="shared" si="20"/>
        <v>0.13320000000000001</v>
      </c>
      <c r="G21" s="42">
        <v>0.4</v>
      </c>
      <c r="H21" s="35">
        <v>2</v>
      </c>
      <c r="I21" s="43">
        <f t="shared" si="21"/>
        <v>0.8</v>
      </c>
      <c r="J21" s="42">
        <v>0.4</v>
      </c>
      <c r="K21" s="35">
        <v>2</v>
      </c>
      <c r="L21" s="43">
        <f t="shared" si="22"/>
        <v>0.8</v>
      </c>
      <c r="M21" s="42">
        <v>0.4</v>
      </c>
      <c r="N21" s="35">
        <v>0.33300000000000002</v>
      </c>
      <c r="O21" s="43">
        <f t="shared" si="23"/>
        <v>0.13320000000000001</v>
      </c>
      <c r="P21" s="42">
        <v>0.4</v>
      </c>
      <c r="Q21" s="35">
        <v>0.33300000000000002</v>
      </c>
      <c r="R21" s="43">
        <f t="shared" si="24"/>
        <v>0.13320000000000001</v>
      </c>
      <c r="S21" s="42">
        <v>0.4</v>
      </c>
      <c r="T21" s="35">
        <v>0.33300000000000002</v>
      </c>
      <c r="U21" s="43">
        <f t="shared" si="25"/>
        <v>0.13320000000000001</v>
      </c>
      <c r="V21" s="42">
        <v>0.4</v>
      </c>
      <c r="W21" s="35">
        <v>0.33300000000000002</v>
      </c>
      <c r="X21" s="43">
        <f t="shared" si="26"/>
        <v>0.13320000000000001</v>
      </c>
      <c r="Y21" s="42">
        <v>0.4</v>
      </c>
      <c r="Z21" s="35">
        <v>0.33300000000000002</v>
      </c>
      <c r="AA21" s="43">
        <f t="shared" si="27"/>
        <v>0.13320000000000001</v>
      </c>
    </row>
    <row r="22" spans="1:27" x14ac:dyDescent="0.3">
      <c r="B22" s="72"/>
      <c r="C22" s="43" t="str">
        <v>B-E</v>
      </c>
      <c r="D22" s="42">
        <v>0.3</v>
      </c>
      <c r="E22" s="35">
        <v>4</v>
      </c>
      <c r="F22" s="43">
        <f t="shared" si="20"/>
        <v>1.2</v>
      </c>
      <c r="G22" s="42">
        <v>0.3</v>
      </c>
      <c r="H22" s="35">
        <v>4</v>
      </c>
      <c r="I22" s="43">
        <f t="shared" si="21"/>
        <v>1.2</v>
      </c>
      <c r="J22" s="42">
        <v>0.3</v>
      </c>
      <c r="K22" s="35">
        <v>4</v>
      </c>
      <c r="L22" s="43">
        <f t="shared" si="22"/>
        <v>1.2</v>
      </c>
      <c r="M22" s="42">
        <v>0.3</v>
      </c>
      <c r="N22" s="35">
        <v>4</v>
      </c>
      <c r="O22" s="43">
        <f t="shared" si="23"/>
        <v>1.2</v>
      </c>
      <c r="P22" s="42">
        <v>0.3</v>
      </c>
      <c r="Q22" s="35">
        <v>4</v>
      </c>
      <c r="R22" s="43">
        <f t="shared" si="24"/>
        <v>1.2</v>
      </c>
      <c r="S22" s="42">
        <v>0.3</v>
      </c>
      <c r="T22" s="35">
        <v>4</v>
      </c>
      <c r="U22" s="43">
        <f t="shared" si="25"/>
        <v>1.2</v>
      </c>
      <c r="V22" s="42">
        <v>0.3</v>
      </c>
      <c r="W22" s="35">
        <v>4</v>
      </c>
      <c r="X22" s="43">
        <f>V22*W22</f>
        <v>1.2</v>
      </c>
      <c r="Y22" s="42">
        <v>0.3</v>
      </c>
      <c r="Z22" s="35">
        <v>4</v>
      </c>
      <c r="AA22" s="43">
        <f t="shared" si="27"/>
        <v>1.2</v>
      </c>
    </row>
    <row r="23" spans="1:27" x14ac:dyDescent="0.3">
      <c r="B23" s="72"/>
      <c r="C23" s="43" t="str">
        <v>E-F</v>
      </c>
      <c r="D23" s="42">
        <v>0.3</v>
      </c>
      <c r="E23" s="35">
        <v>3</v>
      </c>
      <c r="F23" s="43">
        <f t="shared" si="20"/>
        <v>0.89999999999999991</v>
      </c>
      <c r="G23" s="42">
        <v>0.3</v>
      </c>
      <c r="H23" s="35">
        <v>3</v>
      </c>
      <c r="I23" s="43">
        <f t="shared" si="21"/>
        <v>0.89999999999999991</v>
      </c>
      <c r="J23" s="42">
        <v>0.3</v>
      </c>
      <c r="K23" s="35">
        <v>3</v>
      </c>
      <c r="L23" s="43">
        <f t="shared" si="22"/>
        <v>0.89999999999999991</v>
      </c>
      <c r="M23" s="42">
        <v>0.3</v>
      </c>
      <c r="N23" s="35">
        <v>3</v>
      </c>
      <c r="O23" s="43">
        <f t="shared" si="23"/>
        <v>0.89999999999999991</v>
      </c>
      <c r="P23" s="42">
        <v>0.3</v>
      </c>
      <c r="Q23" s="35">
        <v>3</v>
      </c>
      <c r="R23" s="43">
        <f t="shared" si="24"/>
        <v>0.89999999999999991</v>
      </c>
      <c r="S23" s="42">
        <v>0.3</v>
      </c>
      <c r="T23" s="35">
        <v>3</v>
      </c>
      <c r="U23" s="43">
        <f t="shared" si="25"/>
        <v>0.89999999999999991</v>
      </c>
      <c r="V23" s="42">
        <v>0.3</v>
      </c>
      <c r="W23" s="35">
        <v>3</v>
      </c>
      <c r="X23" s="43">
        <f t="shared" si="26"/>
        <v>0.89999999999999991</v>
      </c>
      <c r="Y23" s="42">
        <v>0.3</v>
      </c>
      <c r="Z23" s="35">
        <v>3</v>
      </c>
      <c r="AA23" s="43">
        <f t="shared" si="27"/>
        <v>0.89999999999999991</v>
      </c>
    </row>
    <row r="24" spans="1:27" x14ac:dyDescent="0.3">
      <c r="B24" s="72"/>
      <c r="C24" s="43" t="str">
        <v>F-G</v>
      </c>
      <c r="D24" s="42">
        <v>0.6</v>
      </c>
      <c r="E24" s="35">
        <v>2.5</v>
      </c>
      <c r="F24" s="43">
        <f t="shared" si="20"/>
        <v>1.5</v>
      </c>
      <c r="G24" s="42">
        <v>0.6</v>
      </c>
      <c r="H24" s="35">
        <v>2.5</v>
      </c>
      <c r="I24" s="43">
        <f>G24*H24</f>
        <v>1.5</v>
      </c>
      <c r="J24" s="42">
        <v>0.6</v>
      </c>
      <c r="K24" s="35">
        <v>2.5</v>
      </c>
      <c r="L24" s="43">
        <f t="shared" si="22"/>
        <v>1.5</v>
      </c>
      <c r="M24" s="42">
        <v>0.6</v>
      </c>
      <c r="N24" s="35">
        <v>2.5</v>
      </c>
      <c r="O24" s="43">
        <f t="shared" si="23"/>
        <v>1.5</v>
      </c>
      <c r="P24" s="42">
        <v>0.6</v>
      </c>
      <c r="Q24" s="35">
        <v>2.5</v>
      </c>
      <c r="R24" s="43">
        <f t="shared" si="24"/>
        <v>1.5</v>
      </c>
      <c r="S24" s="42">
        <v>0.6</v>
      </c>
      <c r="T24" s="35">
        <v>2.5</v>
      </c>
      <c r="U24" s="43">
        <f t="shared" si="25"/>
        <v>1.5</v>
      </c>
      <c r="V24" s="42">
        <v>0.6</v>
      </c>
      <c r="W24" s="35">
        <v>2.5</v>
      </c>
      <c r="X24" s="43">
        <f t="shared" si="26"/>
        <v>1.5</v>
      </c>
      <c r="Y24" s="42">
        <v>0.6</v>
      </c>
      <c r="Z24" s="35">
        <v>2.5</v>
      </c>
      <c r="AA24" s="43">
        <f t="shared" si="27"/>
        <v>1.5</v>
      </c>
    </row>
    <row r="25" spans="1:27" x14ac:dyDescent="0.3">
      <c r="B25" s="72"/>
      <c r="C25" s="43" t="str">
        <v>F-H</v>
      </c>
      <c r="D25" s="42">
        <v>0.5</v>
      </c>
      <c r="E25" s="35">
        <v>3</v>
      </c>
      <c r="F25" s="43">
        <f t="shared" si="20"/>
        <v>1.5</v>
      </c>
      <c r="G25" s="42">
        <v>0.5</v>
      </c>
      <c r="H25" s="35">
        <v>3</v>
      </c>
      <c r="I25" s="43">
        <f t="shared" si="21"/>
        <v>1.5</v>
      </c>
      <c r="J25" s="42">
        <v>0.5</v>
      </c>
      <c r="K25" s="35">
        <v>3</v>
      </c>
      <c r="L25" s="43">
        <f t="shared" si="22"/>
        <v>1.5</v>
      </c>
      <c r="M25" s="42">
        <v>0.5</v>
      </c>
      <c r="N25" s="35">
        <v>3</v>
      </c>
      <c r="O25" s="43">
        <f t="shared" si="23"/>
        <v>1.5</v>
      </c>
      <c r="P25" s="42">
        <v>0.5</v>
      </c>
      <c r="Q25" s="35">
        <v>3</v>
      </c>
      <c r="R25" s="43">
        <f t="shared" si="24"/>
        <v>1.5</v>
      </c>
      <c r="S25" s="42">
        <v>0.5</v>
      </c>
      <c r="T25" s="35">
        <v>3</v>
      </c>
      <c r="U25" s="43">
        <f t="shared" si="25"/>
        <v>1.5</v>
      </c>
      <c r="V25" s="42">
        <v>0.5</v>
      </c>
      <c r="W25" s="35">
        <v>3</v>
      </c>
      <c r="X25" s="43">
        <f t="shared" si="26"/>
        <v>1.5</v>
      </c>
      <c r="Y25" s="42">
        <v>0.5</v>
      </c>
      <c r="Z25" s="35">
        <v>3</v>
      </c>
      <c r="AA25" s="43">
        <f t="shared" si="27"/>
        <v>1.5</v>
      </c>
    </row>
    <row r="26" spans="1:27" x14ac:dyDescent="0.3">
      <c r="B26" s="72"/>
      <c r="C26" s="43" t="str">
        <v>H-I</v>
      </c>
      <c r="D26" s="42">
        <v>0.3</v>
      </c>
      <c r="E26" s="35">
        <v>3</v>
      </c>
      <c r="F26" s="43">
        <f t="shared" si="20"/>
        <v>0.89999999999999991</v>
      </c>
      <c r="G26" s="42">
        <v>0.3</v>
      </c>
      <c r="H26" s="35">
        <v>3</v>
      </c>
      <c r="I26" s="43">
        <f t="shared" si="21"/>
        <v>0.89999999999999991</v>
      </c>
      <c r="J26" s="42">
        <v>0.3</v>
      </c>
      <c r="K26" s="35">
        <v>3</v>
      </c>
      <c r="L26" s="43">
        <f t="shared" si="22"/>
        <v>0.89999999999999991</v>
      </c>
      <c r="M26" s="42">
        <v>0.3</v>
      </c>
      <c r="N26" s="35">
        <v>3</v>
      </c>
      <c r="O26" s="43">
        <f t="shared" si="23"/>
        <v>0.89999999999999991</v>
      </c>
      <c r="P26" s="42">
        <v>0.3</v>
      </c>
      <c r="Q26" s="35">
        <v>3</v>
      </c>
      <c r="R26" s="43">
        <f t="shared" si="24"/>
        <v>0.89999999999999991</v>
      </c>
      <c r="S26" s="42">
        <v>0.3</v>
      </c>
      <c r="T26" s="35">
        <v>3</v>
      </c>
      <c r="U26" s="43">
        <f t="shared" si="25"/>
        <v>0.89999999999999991</v>
      </c>
      <c r="V26" s="42">
        <v>0.3</v>
      </c>
      <c r="W26" s="35">
        <v>3</v>
      </c>
      <c r="X26" s="43">
        <f t="shared" si="26"/>
        <v>0.89999999999999991</v>
      </c>
      <c r="Y26" s="42">
        <v>0.3</v>
      </c>
      <c r="Z26" s="35">
        <v>3</v>
      </c>
      <c r="AA26" s="43">
        <f t="shared" si="27"/>
        <v>0.89999999999999991</v>
      </c>
    </row>
    <row r="27" spans="1:27" x14ac:dyDescent="0.3">
      <c r="B27" s="72"/>
      <c r="C27" s="43" t="str">
        <v>I-J</v>
      </c>
      <c r="D27" s="42">
        <v>0.2</v>
      </c>
      <c r="E27" s="35">
        <v>1</v>
      </c>
      <c r="F27" s="43">
        <f t="shared" si="20"/>
        <v>0.2</v>
      </c>
      <c r="G27" s="42">
        <v>0.2</v>
      </c>
      <c r="H27" s="35">
        <v>1</v>
      </c>
      <c r="I27" s="43">
        <f t="shared" si="21"/>
        <v>0.2</v>
      </c>
      <c r="J27" s="42">
        <v>0.2</v>
      </c>
      <c r="K27" s="35">
        <v>1</v>
      </c>
      <c r="L27" s="43">
        <f t="shared" si="22"/>
        <v>0.2</v>
      </c>
      <c r="M27" s="42">
        <v>0.2</v>
      </c>
      <c r="N27" s="35">
        <v>1</v>
      </c>
      <c r="O27" s="43">
        <f t="shared" si="23"/>
        <v>0.2</v>
      </c>
      <c r="P27" s="42">
        <v>0.2</v>
      </c>
      <c r="Q27" s="35">
        <v>1</v>
      </c>
      <c r="R27" s="43">
        <f t="shared" si="24"/>
        <v>0.2</v>
      </c>
      <c r="S27" s="42">
        <v>0.2</v>
      </c>
      <c r="T27" s="35">
        <v>1</v>
      </c>
      <c r="U27" s="43">
        <f t="shared" si="25"/>
        <v>0.2</v>
      </c>
      <c r="V27" s="42">
        <v>0.2</v>
      </c>
      <c r="W27" s="35">
        <v>1</v>
      </c>
      <c r="X27" s="43">
        <f t="shared" si="26"/>
        <v>0.2</v>
      </c>
      <c r="Y27" s="42">
        <v>0.2</v>
      </c>
      <c r="Z27" s="35">
        <v>1</v>
      </c>
      <c r="AA27" s="43">
        <f t="shared" si="27"/>
        <v>0.2</v>
      </c>
    </row>
    <row r="28" spans="1:27" x14ac:dyDescent="0.3">
      <c r="B28" s="73"/>
      <c r="C28" s="44" t="str">
        <v>I-K</v>
      </c>
      <c r="D28" s="45">
        <v>0.3</v>
      </c>
      <c r="E28" s="46">
        <v>2.5</v>
      </c>
      <c r="F28" s="44">
        <f t="shared" si="20"/>
        <v>0.75</v>
      </c>
      <c r="G28" s="45">
        <v>0.3</v>
      </c>
      <c r="H28" s="46">
        <v>2.5</v>
      </c>
      <c r="I28" s="44">
        <f t="shared" si="21"/>
        <v>0.75</v>
      </c>
      <c r="J28" s="45">
        <v>0.3</v>
      </c>
      <c r="K28" s="46">
        <v>2.5</v>
      </c>
      <c r="L28" s="44">
        <f t="shared" si="22"/>
        <v>0.75</v>
      </c>
      <c r="M28" s="45">
        <v>0.3</v>
      </c>
      <c r="N28" s="46">
        <v>2.5</v>
      </c>
      <c r="O28" s="44">
        <f t="shared" si="23"/>
        <v>0.75</v>
      </c>
      <c r="P28" s="45">
        <v>0.3</v>
      </c>
      <c r="Q28" s="46">
        <v>2.5</v>
      </c>
      <c r="R28" s="44">
        <f t="shared" si="24"/>
        <v>0.75</v>
      </c>
      <c r="S28" s="45">
        <v>0.3</v>
      </c>
      <c r="T28" s="46">
        <v>2.5</v>
      </c>
      <c r="U28" s="44">
        <f t="shared" si="25"/>
        <v>0.75</v>
      </c>
      <c r="V28" s="45">
        <v>0.3</v>
      </c>
      <c r="W28" s="46">
        <v>2.5</v>
      </c>
      <c r="X28" s="44">
        <f t="shared" si="26"/>
        <v>0.75</v>
      </c>
      <c r="Y28" s="45">
        <v>0.3</v>
      </c>
      <c r="Z28" s="46">
        <v>2.5</v>
      </c>
      <c r="AA28" s="44">
        <f>Y28*Z28</f>
        <v>0.75</v>
      </c>
    </row>
    <row r="29" spans="1:27" x14ac:dyDescent="0.3">
      <c r="C29" s="35" t="s">
        <v>63</v>
      </c>
      <c r="D29" s="35">
        <f>SUM(_xlfn.ANCHORARRAY(D19))</f>
        <v>3.9</v>
      </c>
      <c r="E29" s="35">
        <f>F29/D29</f>
        <v>2.2349743589743589</v>
      </c>
      <c r="F29" s="35">
        <f>SUM(F19:F28)</f>
        <v>8.7164000000000001</v>
      </c>
      <c r="G29" s="35">
        <f t="shared" ref="G29" si="28">SUM(_xlfn.ANCHORARRAY(G19))</f>
        <v>3.9</v>
      </c>
      <c r="H29" s="35">
        <f>I29/G29</f>
        <v>2.5769230769230766</v>
      </c>
      <c r="I29" s="35">
        <f>SUM(I19:I28)</f>
        <v>10.049999999999999</v>
      </c>
      <c r="J29" s="35">
        <f t="shared" ref="J29" si="29">SUM(_xlfn.ANCHORARRAY(J19))</f>
        <v>3.9</v>
      </c>
      <c r="K29" s="35">
        <f>L29/J29</f>
        <v>2.5769230769230766</v>
      </c>
      <c r="L29" s="35">
        <f>SUM(L19:L28)</f>
        <v>10.049999999999999</v>
      </c>
      <c r="M29" s="35">
        <f t="shared" ref="M29" si="30">SUM(_xlfn.ANCHORARRAY(M19))</f>
        <v>3.9</v>
      </c>
      <c r="N29" s="35">
        <f>O29/M29</f>
        <v>2.2349743589743589</v>
      </c>
      <c r="O29" s="35">
        <f>SUM(O19:O28)</f>
        <v>8.7164000000000001</v>
      </c>
      <c r="P29" s="35">
        <f t="shared" ref="P29" si="31">SUM(_xlfn.ANCHORARRAY(P19))</f>
        <v>3.9</v>
      </c>
      <c r="Q29" s="35">
        <f>R29/P29</f>
        <v>2.2349743589743589</v>
      </c>
      <c r="R29" s="35">
        <f>SUM(R19:R28)</f>
        <v>8.7164000000000001</v>
      </c>
      <c r="S29" s="35">
        <f t="shared" ref="S29" si="32">SUM(_xlfn.ANCHORARRAY(S19))</f>
        <v>3.9</v>
      </c>
      <c r="T29" s="35">
        <f>U29/S29</f>
        <v>2.2349743589743589</v>
      </c>
      <c r="U29" s="35">
        <f>SUM(U19:U28)</f>
        <v>8.7164000000000001</v>
      </c>
      <c r="V29" s="35">
        <f t="shared" ref="V29" si="33">SUM(_xlfn.ANCHORARRAY(V19))</f>
        <v>3.9</v>
      </c>
      <c r="W29" s="35">
        <f>X29/V29</f>
        <v>2.2349743589743589</v>
      </c>
      <c r="X29" s="35">
        <f>SUM(X19:X28)</f>
        <v>8.7164000000000001</v>
      </c>
      <c r="Y29" s="35">
        <f t="shared" ref="Y29" si="34">SUM(_xlfn.ANCHORARRAY(Y19))</f>
        <v>3.9</v>
      </c>
      <c r="Z29" s="35">
        <f>AA29/Y29</f>
        <v>2.2349743589743589</v>
      </c>
      <c r="AA29" s="35">
        <f>SUM(AA19:AA28)</f>
        <v>8.7164000000000001</v>
      </c>
    </row>
    <row r="32" spans="1:27" x14ac:dyDescent="0.3">
      <c r="A32" s="49" t="s">
        <v>65</v>
      </c>
      <c r="B32" s="36"/>
      <c r="C32" s="37"/>
      <c r="D32" s="67" t="s">
        <v>54</v>
      </c>
      <c r="E32" s="68"/>
      <c r="F32" s="69"/>
      <c r="G32" s="67" t="s">
        <v>55</v>
      </c>
      <c r="H32" s="68"/>
      <c r="I32" s="69"/>
      <c r="J32" s="67" t="s">
        <v>56</v>
      </c>
      <c r="K32" s="68"/>
      <c r="L32" s="69"/>
      <c r="M32" s="67" t="s">
        <v>57</v>
      </c>
      <c r="N32" s="68"/>
      <c r="O32" s="69"/>
      <c r="P32" s="67" t="s">
        <v>58</v>
      </c>
      <c r="Q32" s="68"/>
      <c r="R32" s="69"/>
      <c r="S32" s="67" t="s">
        <v>59</v>
      </c>
      <c r="T32" s="68"/>
      <c r="U32" s="69"/>
      <c r="V32" s="67" t="s">
        <v>60</v>
      </c>
      <c r="W32" s="68"/>
      <c r="X32" s="69"/>
      <c r="Y32" s="67" t="s">
        <v>61</v>
      </c>
      <c r="Z32" s="68"/>
      <c r="AA32" s="69"/>
    </row>
    <row r="33" spans="1:27" x14ac:dyDescent="0.3">
      <c r="B33" s="70" t="s">
        <v>50</v>
      </c>
      <c r="C33" s="71"/>
      <c r="D33" s="42" t="s">
        <v>53</v>
      </c>
      <c r="E33" s="35" t="s">
        <v>52</v>
      </c>
      <c r="F33" s="43" t="s">
        <v>51</v>
      </c>
      <c r="G33" s="42" t="s">
        <v>53</v>
      </c>
      <c r="H33" s="35" t="s">
        <v>52</v>
      </c>
      <c r="I33" s="43" t="s">
        <v>51</v>
      </c>
      <c r="J33" s="42" t="s">
        <v>53</v>
      </c>
      <c r="K33" s="35" t="s">
        <v>52</v>
      </c>
      <c r="L33" s="43" t="s">
        <v>51</v>
      </c>
      <c r="M33" s="42" t="s">
        <v>53</v>
      </c>
      <c r="N33" s="35" t="s">
        <v>52</v>
      </c>
      <c r="O33" s="43" t="s">
        <v>51</v>
      </c>
      <c r="P33" s="42" t="s">
        <v>53</v>
      </c>
      <c r="Q33" s="35" t="s">
        <v>52</v>
      </c>
      <c r="R33" s="43" t="s">
        <v>51</v>
      </c>
      <c r="S33" s="42" t="s">
        <v>53</v>
      </c>
      <c r="T33" s="35" t="s">
        <v>52</v>
      </c>
      <c r="U33" s="43" t="s">
        <v>51</v>
      </c>
      <c r="V33" s="42" t="s">
        <v>53</v>
      </c>
      <c r="W33" s="35" t="s">
        <v>52</v>
      </c>
      <c r="X33" s="43" t="s">
        <v>51</v>
      </c>
      <c r="Y33" s="42" t="s">
        <v>53</v>
      </c>
      <c r="Z33" s="35" t="s">
        <v>52</v>
      </c>
      <c r="AA33" s="43" t="s">
        <v>51</v>
      </c>
    </row>
    <row r="34" spans="1:27" ht="14.4" customHeight="1" x14ac:dyDescent="0.3">
      <c r="B34" s="72" t="s">
        <v>62</v>
      </c>
      <c r="C34" s="43" t="str" cm="1">
        <f t="array" ref="C34:C43">'DATA AND SCENARIO'!$E$2:$E$11</f>
        <v>A-B</v>
      </c>
      <c r="D34" s="42" cm="1">
        <f t="array" ref="D34:D43">'DATA AND SCENARIO'!$F$2:$F$11</f>
        <v>0.6</v>
      </c>
      <c r="E34" s="35">
        <v>2.5</v>
      </c>
      <c r="F34" s="43">
        <f>D34*E34</f>
        <v>1.5</v>
      </c>
      <c r="G34" s="42" cm="1">
        <f t="array" ref="G34:G43">'DATA AND SCENARIO'!$F$2:$F$11</f>
        <v>0.6</v>
      </c>
      <c r="H34" s="35">
        <v>2.5</v>
      </c>
      <c r="I34" s="43">
        <f>G34*H34</f>
        <v>1.5</v>
      </c>
      <c r="J34" s="42" cm="1">
        <f t="array" ref="J34:J43">'DATA AND SCENARIO'!$F$2:$F$11</f>
        <v>0.6</v>
      </c>
      <c r="K34" s="35">
        <v>2.5</v>
      </c>
      <c r="L34" s="43">
        <f>J34*K34</f>
        <v>1.5</v>
      </c>
      <c r="M34" s="42" cm="1">
        <f t="array" ref="M34:M43">'DATA AND SCENARIO'!$F$2:$F$11</f>
        <v>0.6</v>
      </c>
      <c r="N34" s="35">
        <v>2.5</v>
      </c>
      <c r="O34" s="43">
        <f>M34*N34</f>
        <v>1.5</v>
      </c>
      <c r="P34" s="42" cm="1">
        <f t="array" ref="P34:P43">'DATA AND SCENARIO'!$F$2:$F$11</f>
        <v>0.6</v>
      </c>
      <c r="Q34" s="35">
        <v>2.5</v>
      </c>
      <c r="R34" s="43">
        <f>P34*Q34</f>
        <v>1.5</v>
      </c>
      <c r="S34" s="42" cm="1">
        <f t="array" ref="S34:S43">'DATA AND SCENARIO'!$F$2:$F$11</f>
        <v>0.6</v>
      </c>
      <c r="T34" s="35">
        <v>2.5</v>
      </c>
      <c r="U34" s="43">
        <f>S34*T34</f>
        <v>1.5</v>
      </c>
      <c r="V34" s="42" cm="1">
        <f t="array" ref="V34:V43">'DATA AND SCENARIO'!$F$2:$F$11</f>
        <v>0.6</v>
      </c>
      <c r="W34" s="35">
        <v>2.5</v>
      </c>
      <c r="X34" s="43">
        <f>V34*W34</f>
        <v>1.5</v>
      </c>
      <c r="Y34" s="42" cm="1">
        <f t="array" ref="Y34:Y43">'DATA AND SCENARIO'!$F$2:$F$11</f>
        <v>0.6</v>
      </c>
      <c r="Z34" s="35">
        <v>2.5</v>
      </c>
      <c r="AA34" s="43">
        <f>Y34*Z34</f>
        <v>1.5</v>
      </c>
    </row>
    <row r="35" spans="1:27" x14ac:dyDescent="0.3">
      <c r="B35" s="72"/>
      <c r="C35" s="43" t="str">
        <v>B-C</v>
      </c>
      <c r="D35" s="42">
        <v>0.4</v>
      </c>
      <c r="E35" s="35">
        <v>0.33300000000000002</v>
      </c>
      <c r="F35" s="43">
        <f t="shared" ref="F35:F43" si="35">D35*E35</f>
        <v>0.13320000000000001</v>
      </c>
      <c r="G35" s="42">
        <v>0.4</v>
      </c>
      <c r="H35" s="35">
        <v>2</v>
      </c>
      <c r="I35" s="43">
        <f t="shared" ref="I35:I43" si="36">G35*H35</f>
        <v>0.8</v>
      </c>
      <c r="J35" s="42">
        <v>0.4</v>
      </c>
      <c r="K35" s="35">
        <v>2</v>
      </c>
      <c r="L35" s="43">
        <f t="shared" ref="L35:L43" si="37">J35*K35</f>
        <v>0.8</v>
      </c>
      <c r="M35" s="42">
        <v>0.4</v>
      </c>
      <c r="N35" s="35">
        <v>0.33300000000000002</v>
      </c>
      <c r="O35" s="43">
        <f t="shared" ref="O35:O43" si="38">M35*N35</f>
        <v>0.13320000000000001</v>
      </c>
      <c r="P35" s="42">
        <v>0.4</v>
      </c>
      <c r="Q35" s="35">
        <v>0.33300000000000002</v>
      </c>
      <c r="R35" s="43">
        <f t="shared" ref="R35:R43" si="39">P35*Q35</f>
        <v>0.13320000000000001</v>
      </c>
      <c r="S35" s="42">
        <v>0.4</v>
      </c>
      <c r="T35" s="35">
        <v>0.33300000000000002</v>
      </c>
      <c r="U35" s="43">
        <f t="shared" ref="U35:U43" si="40">S35*T35</f>
        <v>0.13320000000000001</v>
      </c>
      <c r="V35" s="42">
        <v>0.4</v>
      </c>
      <c r="W35" s="35">
        <v>0.33300000000000002</v>
      </c>
      <c r="X35" s="43">
        <f t="shared" ref="X35:X43" si="41">V35*W35</f>
        <v>0.13320000000000001</v>
      </c>
      <c r="Y35" s="42">
        <v>0.4</v>
      </c>
      <c r="Z35" s="35">
        <v>0.33300000000000002</v>
      </c>
      <c r="AA35" s="43">
        <f t="shared" ref="AA35:AA42" si="42">Y35*Z35</f>
        <v>0.13320000000000001</v>
      </c>
    </row>
    <row r="36" spans="1:27" x14ac:dyDescent="0.3">
      <c r="B36" s="72"/>
      <c r="C36" s="43" t="str">
        <v>C-D</v>
      </c>
      <c r="D36" s="42">
        <v>0.4</v>
      </c>
      <c r="E36" s="35">
        <v>0.33300000000000002</v>
      </c>
      <c r="F36" s="43">
        <f t="shared" si="35"/>
        <v>0.13320000000000001</v>
      </c>
      <c r="G36" s="42">
        <v>0.4</v>
      </c>
      <c r="H36" s="35">
        <v>0.33300000000000002</v>
      </c>
      <c r="I36" s="43">
        <f t="shared" si="36"/>
        <v>0.13320000000000001</v>
      </c>
      <c r="J36" s="42">
        <v>0.4</v>
      </c>
      <c r="K36" s="35">
        <v>2</v>
      </c>
      <c r="L36" s="43">
        <f t="shared" si="37"/>
        <v>0.8</v>
      </c>
      <c r="M36" s="42">
        <v>0.4</v>
      </c>
      <c r="N36" s="35">
        <v>0.33300000000000002</v>
      </c>
      <c r="O36" s="43">
        <f t="shared" si="38"/>
        <v>0.13320000000000001</v>
      </c>
      <c r="P36" s="42">
        <v>0.4</v>
      </c>
      <c r="Q36" s="35">
        <v>0.33300000000000002</v>
      </c>
      <c r="R36" s="43">
        <f t="shared" si="39"/>
        <v>0.13320000000000001</v>
      </c>
      <c r="S36" s="42">
        <v>0.4</v>
      </c>
      <c r="T36" s="35">
        <v>0.33300000000000002</v>
      </c>
      <c r="U36" s="43">
        <f t="shared" si="40"/>
        <v>0.13320000000000001</v>
      </c>
      <c r="V36" s="42">
        <v>0.4</v>
      </c>
      <c r="W36" s="35">
        <v>0.33300000000000002</v>
      </c>
      <c r="X36" s="43">
        <f t="shared" si="41"/>
        <v>0.13320000000000001</v>
      </c>
      <c r="Y36" s="42">
        <v>0.4</v>
      </c>
      <c r="Z36" s="35">
        <v>0.33300000000000002</v>
      </c>
      <c r="AA36" s="43">
        <f t="shared" si="42"/>
        <v>0.13320000000000001</v>
      </c>
    </row>
    <row r="37" spans="1:27" x14ac:dyDescent="0.3">
      <c r="B37" s="72"/>
      <c r="C37" s="43" t="str">
        <v>B-E</v>
      </c>
      <c r="D37" s="42">
        <v>0.3</v>
      </c>
      <c r="E37" s="35">
        <v>4</v>
      </c>
      <c r="F37" s="43">
        <f t="shared" si="35"/>
        <v>1.2</v>
      </c>
      <c r="G37" s="42">
        <v>0.3</v>
      </c>
      <c r="H37" s="35">
        <v>4</v>
      </c>
      <c r="I37" s="43">
        <f t="shared" si="36"/>
        <v>1.2</v>
      </c>
      <c r="J37" s="42">
        <v>0.3</v>
      </c>
      <c r="K37" s="35">
        <v>4</v>
      </c>
      <c r="L37" s="43">
        <f t="shared" si="37"/>
        <v>1.2</v>
      </c>
      <c r="M37" s="42">
        <v>0.3</v>
      </c>
      <c r="N37" s="35">
        <v>4</v>
      </c>
      <c r="O37" s="43">
        <f t="shared" si="38"/>
        <v>1.2</v>
      </c>
      <c r="P37" s="42">
        <v>0.3</v>
      </c>
      <c r="Q37" s="35">
        <v>4</v>
      </c>
      <c r="R37" s="43">
        <f t="shared" si="39"/>
        <v>1.2</v>
      </c>
      <c r="S37" s="42">
        <v>0.3</v>
      </c>
      <c r="T37" s="35">
        <v>4</v>
      </c>
      <c r="U37" s="43">
        <f t="shared" si="40"/>
        <v>1.2</v>
      </c>
      <c r="V37" s="42">
        <v>0.3</v>
      </c>
      <c r="W37" s="35">
        <v>4</v>
      </c>
      <c r="X37" s="43">
        <f t="shared" si="41"/>
        <v>1.2</v>
      </c>
      <c r="Y37" s="42">
        <v>0.3</v>
      </c>
      <c r="Z37" s="35">
        <v>4</v>
      </c>
      <c r="AA37" s="43">
        <f t="shared" si="42"/>
        <v>1.2</v>
      </c>
    </row>
    <row r="38" spans="1:27" x14ac:dyDescent="0.3">
      <c r="B38" s="72"/>
      <c r="C38" s="43" t="str">
        <v>E-F</v>
      </c>
      <c r="D38" s="42">
        <v>0.3</v>
      </c>
      <c r="E38" s="35">
        <v>3</v>
      </c>
      <c r="F38" s="43">
        <f t="shared" si="35"/>
        <v>0.89999999999999991</v>
      </c>
      <c r="G38" s="42">
        <v>0.3</v>
      </c>
      <c r="H38" s="35">
        <v>3</v>
      </c>
      <c r="I38" s="43">
        <f t="shared" si="36"/>
        <v>0.89999999999999991</v>
      </c>
      <c r="J38" s="42">
        <v>0.3</v>
      </c>
      <c r="K38" s="35">
        <v>3</v>
      </c>
      <c r="L38" s="43">
        <f t="shared" si="37"/>
        <v>0.89999999999999991</v>
      </c>
      <c r="M38" s="42">
        <v>0.3</v>
      </c>
      <c r="N38" s="35">
        <v>3</v>
      </c>
      <c r="O38" s="43">
        <f t="shared" si="38"/>
        <v>0.89999999999999991</v>
      </c>
      <c r="P38" s="42">
        <v>0.3</v>
      </c>
      <c r="Q38" s="35">
        <v>3</v>
      </c>
      <c r="R38" s="43">
        <f t="shared" si="39"/>
        <v>0.89999999999999991</v>
      </c>
      <c r="S38" s="42">
        <v>0.3</v>
      </c>
      <c r="T38" s="35">
        <v>3</v>
      </c>
      <c r="U38" s="43">
        <f t="shared" si="40"/>
        <v>0.89999999999999991</v>
      </c>
      <c r="V38" s="42">
        <v>0.3</v>
      </c>
      <c r="W38" s="35">
        <v>3</v>
      </c>
      <c r="X38" s="43">
        <f t="shared" si="41"/>
        <v>0.89999999999999991</v>
      </c>
      <c r="Y38" s="42">
        <v>0.3</v>
      </c>
      <c r="Z38" s="35">
        <v>3</v>
      </c>
      <c r="AA38" s="43">
        <f t="shared" si="42"/>
        <v>0.89999999999999991</v>
      </c>
    </row>
    <row r="39" spans="1:27" x14ac:dyDescent="0.3">
      <c r="B39" s="72"/>
      <c r="C39" s="43" t="str">
        <v>F-G</v>
      </c>
      <c r="D39" s="42">
        <v>0.6</v>
      </c>
      <c r="E39" s="35">
        <v>2.5</v>
      </c>
      <c r="F39" s="43">
        <f t="shared" si="35"/>
        <v>1.5</v>
      </c>
      <c r="G39" s="42">
        <v>0.6</v>
      </c>
      <c r="H39" s="35">
        <v>2.5</v>
      </c>
      <c r="I39" s="43">
        <f t="shared" si="36"/>
        <v>1.5</v>
      </c>
      <c r="J39" s="42">
        <v>0.6</v>
      </c>
      <c r="K39" s="35">
        <v>2.5</v>
      </c>
      <c r="L39" s="43">
        <f t="shared" si="37"/>
        <v>1.5</v>
      </c>
      <c r="M39" s="42">
        <v>0.6</v>
      </c>
      <c r="N39" s="35">
        <v>2.5</v>
      </c>
      <c r="O39" s="43">
        <f t="shared" si="38"/>
        <v>1.5</v>
      </c>
      <c r="P39" s="42">
        <v>0.6</v>
      </c>
      <c r="Q39" s="35">
        <v>2.5</v>
      </c>
      <c r="R39" s="43">
        <f t="shared" si="39"/>
        <v>1.5</v>
      </c>
      <c r="S39" s="42">
        <v>0.6</v>
      </c>
      <c r="T39" s="35">
        <v>2.5</v>
      </c>
      <c r="U39" s="43">
        <f t="shared" si="40"/>
        <v>1.5</v>
      </c>
      <c r="V39" s="42">
        <v>0.6</v>
      </c>
      <c r="W39" s="35">
        <v>2.5</v>
      </c>
      <c r="X39" s="43">
        <f t="shared" si="41"/>
        <v>1.5</v>
      </c>
      <c r="Y39" s="42">
        <v>0.6</v>
      </c>
      <c r="Z39" s="35">
        <v>2.5</v>
      </c>
      <c r="AA39" s="43">
        <f t="shared" si="42"/>
        <v>1.5</v>
      </c>
    </row>
    <row r="40" spans="1:27" x14ac:dyDescent="0.3">
      <c r="B40" s="72"/>
      <c r="C40" s="43" t="str">
        <v>F-H</v>
      </c>
      <c r="D40" s="42">
        <v>0.5</v>
      </c>
      <c r="E40" s="35">
        <v>3</v>
      </c>
      <c r="F40" s="43">
        <f t="shared" si="35"/>
        <v>1.5</v>
      </c>
      <c r="G40" s="42">
        <v>0.5</v>
      </c>
      <c r="H40" s="35">
        <v>3</v>
      </c>
      <c r="I40" s="43">
        <f t="shared" si="36"/>
        <v>1.5</v>
      </c>
      <c r="J40" s="42">
        <v>0.5</v>
      </c>
      <c r="K40" s="35">
        <v>3</v>
      </c>
      <c r="L40" s="43">
        <f t="shared" si="37"/>
        <v>1.5</v>
      </c>
      <c r="M40" s="42">
        <v>0.5</v>
      </c>
      <c r="N40" s="35">
        <v>3</v>
      </c>
      <c r="O40" s="43">
        <f t="shared" si="38"/>
        <v>1.5</v>
      </c>
      <c r="P40" s="42">
        <v>0.5</v>
      </c>
      <c r="Q40" s="35">
        <v>3</v>
      </c>
      <c r="R40" s="43">
        <f t="shared" si="39"/>
        <v>1.5</v>
      </c>
      <c r="S40" s="42">
        <v>0.5</v>
      </c>
      <c r="T40" s="35">
        <v>3</v>
      </c>
      <c r="U40" s="43">
        <f t="shared" si="40"/>
        <v>1.5</v>
      </c>
      <c r="V40" s="42">
        <v>0.5</v>
      </c>
      <c r="W40" s="35">
        <v>3</v>
      </c>
      <c r="X40" s="43">
        <f t="shared" si="41"/>
        <v>1.5</v>
      </c>
      <c r="Y40" s="42">
        <v>0.5</v>
      </c>
      <c r="Z40" s="35">
        <v>3</v>
      </c>
      <c r="AA40" s="43">
        <f t="shared" si="42"/>
        <v>1.5</v>
      </c>
    </row>
    <row r="41" spans="1:27" x14ac:dyDescent="0.3">
      <c r="B41" s="72"/>
      <c r="C41" s="43" t="str">
        <v>H-I</v>
      </c>
      <c r="D41" s="42">
        <v>0.3</v>
      </c>
      <c r="E41" s="35">
        <v>3</v>
      </c>
      <c r="F41" s="43">
        <f t="shared" si="35"/>
        <v>0.89999999999999991</v>
      </c>
      <c r="G41" s="42">
        <v>0.3</v>
      </c>
      <c r="H41" s="35">
        <v>3</v>
      </c>
      <c r="I41" s="43">
        <f>G41*H41</f>
        <v>0.89999999999999991</v>
      </c>
      <c r="J41" s="42">
        <v>0.3</v>
      </c>
      <c r="K41" s="35">
        <v>3</v>
      </c>
      <c r="L41" s="43">
        <f t="shared" si="37"/>
        <v>0.89999999999999991</v>
      </c>
      <c r="M41" s="42">
        <v>0.3</v>
      </c>
      <c r="N41" s="35">
        <v>3</v>
      </c>
      <c r="O41" s="43">
        <f t="shared" si="38"/>
        <v>0.89999999999999991</v>
      </c>
      <c r="P41" s="42">
        <v>0.3</v>
      </c>
      <c r="Q41" s="35">
        <v>3</v>
      </c>
      <c r="R41" s="43">
        <f t="shared" si="39"/>
        <v>0.89999999999999991</v>
      </c>
      <c r="S41" s="42">
        <v>0.3</v>
      </c>
      <c r="T41" s="35">
        <v>3</v>
      </c>
      <c r="U41" s="43">
        <f t="shared" si="40"/>
        <v>0.89999999999999991</v>
      </c>
      <c r="V41" s="42">
        <v>0.3</v>
      </c>
      <c r="W41" s="35">
        <v>3</v>
      </c>
      <c r="X41" s="43">
        <f t="shared" si="41"/>
        <v>0.89999999999999991</v>
      </c>
      <c r="Y41" s="42">
        <v>0.3</v>
      </c>
      <c r="Z41" s="35">
        <v>3</v>
      </c>
      <c r="AA41" s="43">
        <f t="shared" si="42"/>
        <v>0.89999999999999991</v>
      </c>
    </row>
    <row r="42" spans="1:27" x14ac:dyDescent="0.3">
      <c r="B42" s="72"/>
      <c r="C42" s="43" t="str">
        <v>I-J</v>
      </c>
      <c r="D42" s="42">
        <v>0.2</v>
      </c>
      <c r="E42" s="35">
        <v>1</v>
      </c>
      <c r="F42" s="43">
        <f t="shared" si="35"/>
        <v>0.2</v>
      </c>
      <c r="G42" s="42">
        <v>0.2</v>
      </c>
      <c r="H42" s="35">
        <v>1</v>
      </c>
      <c r="I42" s="43">
        <f t="shared" si="36"/>
        <v>0.2</v>
      </c>
      <c r="J42" s="42">
        <v>0.2</v>
      </c>
      <c r="K42" s="35">
        <v>1</v>
      </c>
      <c r="L42" s="43">
        <f t="shared" si="37"/>
        <v>0.2</v>
      </c>
      <c r="M42" s="42">
        <v>0.2</v>
      </c>
      <c r="N42" s="35">
        <v>1</v>
      </c>
      <c r="O42" s="43">
        <f t="shared" si="38"/>
        <v>0.2</v>
      </c>
      <c r="P42" s="42">
        <v>0.2</v>
      </c>
      <c r="Q42" s="35">
        <v>1</v>
      </c>
      <c r="R42" s="43">
        <f t="shared" si="39"/>
        <v>0.2</v>
      </c>
      <c r="S42" s="42">
        <v>0.2</v>
      </c>
      <c r="T42" s="35">
        <v>1</v>
      </c>
      <c r="U42" s="43">
        <f t="shared" si="40"/>
        <v>0.2</v>
      </c>
      <c r="V42" s="42">
        <v>0.2</v>
      </c>
      <c r="W42" s="35">
        <v>1</v>
      </c>
      <c r="X42" s="43">
        <f t="shared" si="41"/>
        <v>0.2</v>
      </c>
      <c r="Y42" s="42">
        <v>0.2</v>
      </c>
      <c r="Z42" s="35">
        <v>1</v>
      </c>
      <c r="AA42" s="43">
        <f t="shared" si="42"/>
        <v>0.2</v>
      </c>
    </row>
    <row r="43" spans="1:27" x14ac:dyDescent="0.3">
      <c r="B43" s="73"/>
      <c r="C43" s="44" t="str">
        <v>I-K</v>
      </c>
      <c r="D43" s="45">
        <v>0.3</v>
      </c>
      <c r="E43" s="46">
        <v>2.5</v>
      </c>
      <c r="F43" s="44">
        <f t="shared" si="35"/>
        <v>0.75</v>
      </c>
      <c r="G43" s="45">
        <v>0.3</v>
      </c>
      <c r="H43" s="46">
        <v>2.5</v>
      </c>
      <c r="I43" s="44">
        <f t="shared" si="36"/>
        <v>0.75</v>
      </c>
      <c r="J43" s="45">
        <v>0.3</v>
      </c>
      <c r="K43" s="46">
        <v>2.5</v>
      </c>
      <c r="L43" s="44">
        <f t="shared" si="37"/>
        <v>0.75</v>
      </c>
      <c r="M43" s="45">
        <v>0.3</v>
      </c>
      <c r="N43" s="46">
        <v>2.5</v>
      </c>
      <c r="O43" s="44">
        <f t="shared" si="38"/>
        <v>0.75</v>
      </c>
      <c r="P43" s="45">
        <v>0.3</v>
      </c>
      <c r="Q43" s="46">
        <v>2.5</v>
      </c>
      <c r="R43" s="44">
        <f t="shared" si="39"/>
        <v>0.75</v>
      </c>
      <c r="S43" s="45">
        <v>0.3</v>
      </c>
      <c r="T43" s="46">
        <v>2.5</v>
      </c>
      <c r="U43" s="44">
        <f t="shared" si="40"/>
        <v>0.75</v>
      </c>
      <c r="V43" s="45">
        <v>0.3</v>
      </c>
      <c r="W43" s="46">
        <v>2.5</v>
      </c>
      <c r="X43" s="44">
        <f t="shared" si="41"/>
        <v>0.75</v>
      </c>
      <c r="Y43" s="45">
        <v>0.3</v>
      </c>
      <c r="Z43" s="46">
        <v>2.5</v>
      </c>
      <c r="AA43" s="44">
        <f>Y43*Z43</f>
        <v>0.75</v>
      </c>
    </row>
    <row r="44" spans="1:27" x14ac:dyDescent="0.3">
      <c r="C44" s="35" t="s">
        <v>63</v>
      </c>
      <c r="D44" s="35">
        <f>SUM(_xlfn.ANCHORARRAY(D34))</f>
        <v>3.9</v>
      </c>
      <c r="E44" s="35">
        <f>F44/D44</f>
        <v>2.2349743589743589</v>
      </c>
      <c r="F44" s="35">
        <f>SUM(F34:F43)</f>
        <v>8.7164000000000001</v>
      </c>
      <c r="G44" s="35">
        <f t="shared" ref="G44" si="43">SUM(_xlfn.ANCHORARRAY(G34))</f>
        <v>3.9</v>
      </c>
      <c r="H44" s="35">
        <f>I44/G44</f>
        <v>2.4059487179487178</v>
      </c>
      <c r="I44" s="35">
        <f>SUM(I34:I43)</f>
        <v>9.3831999999999987</v>
      </c>
      <c r="J44" s="35">
        <f t="shared" ref="J44" si="44">SUM(_xlfn.ANCHORARRAY(J34))</f>
        <v>3.9</v>
      </c>
      <c r="K44" s="35">
        <f>L44/J44</f>
        <v>2.5769230769230766</v>
      </c>
      <c r="L44" s="35">
        <f>SUM(L34:L43)</f>
        <v>10.049999999999999</v>
      </c>
      <c r="M44" s="35">
        <f t="shared" ref="M44" si="45">SUM(_xlfn.ANCHORARRAY(M34))</f>
        <v>3.9</v>
      </c>
      <c r="N44" s="35">
        <f>O44/M44</f>
        <v>2.2349743589743589</v>
      </c>
      <c r="O44" s="35">
        <f>SUM(O34:O43)</f>
        <v>8.7164000000000001</v>
      </c>
      <c r="P44" s="35">
        <f t="shared" ref="P44" si="46">SUM(_xlfn.ANCHORARRAY(P34))</f>
        <v>3.9</v>
      </c>
      <c r="Q44" s="35">
        <f>R44/P44</f>
        <v>2.2349743589743589</v>
      </c>
      <c r="R44" s="35">
        <f>SUM(R34:R43)</f>
        <v>8.7164000000000001</v>
      </c>
      <c r="S44" s="35">
        <f t="shared" ref="S44" si="47">SUM(_xlfn.ANCHORARRAY(S34))</f>
        <v>3.9</v>
      </c>
      <c r="T44" s="35">
        <f>U44/S44</f>
        <v>2.2349743589743589</v>
      </c>
      <c r="U44" s="35">
        <f>SUM(U34:U43)</f>
        <v>8.7164000000000001</v>
      </c>
      <c r="V44" s="35">
        <f t="shared" ref="V44" si="48">SUM(_xlfn.ANCHORARRAY(V34))</f>
        <v>3.9</v>
      </c>
      <c r="W44" s="35">
        <f>X44/V44</f>
        <v>2.2349743589743589</v>
      </c>
      <c r="X44" s="35">
        <f>SUM(X34:X43)</f>
        <v>8.7164000000000001</v>
      </c>
      <c r="Y44" s="35">
        <f t="shared" ref="Y44" si="49">SUM(_xlfn.ANCHORARRAY(Y34))</f>
        <v>3.9</v>
      </c>
      <c r="Z44" s="35">
        <f>AA44/Y44</f>
        <v>2.2349743589743589</v>
      </c>
      <c r="AA44" s="35">
        <f>SUM(AA34:AA43)</f>
        <v>8.7164000000000001</v>
      </c>
    </row>
    <row r="47" spans="1:27" x14ac:dyDescent="0.3">
      <c r="A47" s="49" t="s">
        <v>66</v>
      </c>
      <c r="B47" s="36"/>
      <c r="C47" s="37"/>
      <c r="D47" s="67" t="s">
        <v>54</v>
      </c>
      <c r="E47" s="68"/>
      <c r="F47" s="69"/>
      <c r="G47" s="67" t="s">
        <v>55</v>
      </c>
      <c r="H47" s="68"/>
      <c r="I47" s="69"/>
      <c r="J47" s="67" t="s">
        <v>56</v>
      </c>
      <c r="K47" s="68"/>
      <c r="L47" s="69"/>
      <c r="M47" s="67" t="s">
        <v>57</v>
      </c>
      <c r="N47" s="68"/>
      <c r="O47" s="69"/>
      <c r="P47" s="67" t="s">
        <v>58</v>
      </c>
      <c r="Q47" s="68"/>
      <c r="R47" s="69"/>
      <c r="S47" s="67" t="s">
        <v>59</v>
      </c>
      <c r="T47" s="68"/>
      <c r="U47" s="69"/>
      <c r="V47" s="67" t="s">
        <v>60</v>
      </c>
      <c r="W47" s="68"/>
      <c r="X47" s="69"/>
      <c r="Y47" s="67" t="s">
        <v>61</v>
      </c>
      <c r="Z47" s="68"/>
      <c r="AA47" s="69"/>
    </row>
    <row r="48" spans="1:27" x14ac:dyDescent="0.3">
      <c r="B48" s="70" t="s">
        <v>50</v>
      </c>
      <c r="C48" s="71"/>
      <c r="D48" s="42" t="s">
        <v>53</v>
      </c>
      <c r="E48" s="35" t="s">
        <v>52</v>
      </c>
      <c r="F48" s="43" t="s">
        <v>51</v>
      </c>
      <c r="G48" s="42" t="s">
        <v>53</v>
      </c>
      <c r="H48" s="35" t="s">
        <v>52</v>
      </c>
      <c r="I48" s="43" t="s">
        <v>51</v>
      </c>
      <c r="J48" s="42" t="s">
        <v>53</v>
      </c>
      <c r="K48" s="35" t="s">
        <v>52</v>
      </c>
      <c r="L48" s="43" t="s">
        <v>51</v>
      </c>
      <c r="M48" s="42" t="s">
        <v>53</v>
      </c>
      <c r="N48" s="35" t="s">
        <v>52</v>
      </c>
      <c r="O48" s="43" t="s">
        <v>51</v>
      </c>
      <c r="P48" s="42" t="s">
        <v>53</v>
      </c>
      <c r="Q48" s="35" t="s">
        <v>52</v>
      </c>
      <c r="R48" s="43" t="s">
        <v>51</v>
      </c>
      <c r="S48" s="42" t="s">
        <v>53</v>
      </c>
      <c r="T48" s="35" t="s">
        <v>52</v>
      </c>
      <c r="U48" s="43" t="s">
        <v>51</v>
      </c>
      <c r="V48" s="42" t="s">
        <v>53</v>
      </c>
      <c r="W48" s="35" t="s">
        <v>52</v>
      </c>
      <c r="X48" s="43" t="s">
        <v>51</v>
      </c>
      <c r="Y48" s="42" t="s">
        <v>53</v>
      </c>
      <c r="Z48" s="35" t="s">
        <v>52</v>
      </c>
      <c r="AA48" s="43" t="s">
        <v>51</v>
      </c>
    </row>
    <row r="49" spans="1:27" ht="14.4" customHeight="1" x14ac:dyDescent="0.3">
      <c r="B49" s="72" t="s">
        <v>62</v>
      </c>
      <c r="C49" s="43" t="str" cm="1">
        <f t="array" ref="C49:C58">'DATA AND SCENARIO'!$E$2:$E$11</f>
        <v>A-B</v>
      </c>
      <c r="D49" s="42" cm="1">
        <f t="array" ref="D49:D58">'DATA AND SCENARIO'!$F$2:$F$11</f>
        <v>0.6</v>
      </c>
      <c r="E49" s="35">
        <v>2.5</v>
      </c>
      <c r="F49" s="43">
        <f>D49*E49</f>
        <v>1.5</v>
      </c>
      <c r="G49" s="42" cm="1">
        <f t="array" ref="G49:G58">'DATA AND SCENARIO'!$F$2:$F$11</f>
        <v>0.6</v>
      </c>
      <c r="H49" s="35">
        <v>2.5</v>
      </c>
      <c r="I49" s="43">
        <f>G49*H49</f>
        <v>1.5</v>
      </c>
      <c r="J49" s="42" cm="1">
        <f t="array" ref="J49:J58">'DATA AND SCENARIO'!$F$2:$F$11</f>
        <v>0.6</v>
      </c>
      <c r="K49" s="35">
        <v>2.5</v>
      </c>
      <c r="L49" s="43">
        <f>J49*K49</f>
        <v>1.5</v>
      </c>
      <c r="M49" s="42" cm="1">
        <f t="array" ref="M49:M58">'DATA AND SCENARIO'!$F$2:$F$11</f>
        <v>0.6</v>
      </c>
      <c r="N49" s="35">
        <v>2.5</v>
      </c>
      <c r="O49" s="43">
        <f>M49*N49</f>
        <v>1.5</v>
      </c>
      <c r="P49" s="42" cm="1">
        <f t="array" ref="P49:P58">'DATA AND SCENARIO'!$F$2:$F$11</f>
        <v>0.6</v>
      </c>
      <c r="Q49" s="35">
        <v>2.5</v>
      </c>
      <c r="R49" s="43">
        <f>P49*Q49</f>
        <v>1.5</v>
      </c>
      <c r="S49" s="42" cm="1">
        <f t="array" ref="S49:S58">'DATA AND SCENARIO'!$F$2:$F$11</f>
        <v>0.6</v>
      </c>
      <c r="T49" s="35">
        <v>2.5</v>
      </c>
      <c r="U49" s="43">
        <f>S49*T49</f>
        <v>1.5</v>
      </c>
      <c r="V49" s="42" cm="1">
        <f t="array" ref="V49:V58">'DATA AND SCENARIO'!$F$2:$F$11</f>
        <v>0.6</v>
      </c>
      <c r="W49" s="35">
        <v>2.5</v>
      </c>
      <c r="X49" s="43">
        <f>V49*W49</f>
        <v>1.5</v>
      </c>
      <c r="Y49" s="42" cm="1">
        <f t="array" ref="Y49:Y58">'DATA AND SCENARIO'!$F$2:$F$11</f>
        <v>0.6</v>
      </c>
      <c r="Z49" s="35">
        <v>2.5</v>
      </c>
      <c r="AA49" s="43">
        <f>Y49*Z49</f>
        <v>1.5</v>
      </c>
    </row>
    <row r="50" spans="1:27" x14ac:dyDescent="0.3">
      <c r="B50" s="72"/>
      <c r="C50" s="43" t="str">
        <v>B-C</v>
      </c>
      <c r="D50" s="42">
        <v>0.4</v>
      </c>
      <c r="E50" s="35">
        <v>0.33300000000000002</v>
      </c>
      <c r="F50" s="43">
        <f t="shared" ref="F50:F58" si="50">D50*E50</f>
        <v>0.13320000000000001</v>
      </c>
      <c r="G50" s="42">
        <v>0.4</v>
      </c>
      <c r="H50" s="35">
        <v>2</v>
      </c>
      <c r="I50" s="43">
        <f t="shared" ref="I50:I58" si="51">G50*H50</f>
        <v>0.8</v>
      </c>
      <c r="J50" s="42">
        <v>0.4</v>
      </c>
      <c r="K50" s="35">
        <v>2</v>
      </c>
      <c r="L50" s="43">
        <f t="shared" ref="L50:L58" si="52">J50*K50</f>
        <v>0.8</v>
      </c>
      <c r="M50" s="42">
        <v>0.4</v>
      </c>
      <c r="N50" s="35">
        <v>0.33300000000000002</v>
      </c>
      <c r="O50" s="43">
        <f t="shared" ref="O50:O58" si="53">M50*N50</f>
        <v>0.13320000000000001</v>
      </c>
      <c r="P50" s="42">
        <v>0.4</v>
      </c>
      <c r="Q50" s="35">
        <v>0.33300000000000002</v>
      </c>
      <c r="R50" s="43">
        <f t="shared" ref="R50:R58" si="54">P50*Q50</f>
        <v>0.13320000000000001</v>
      </c>
      <c r="S50" s="42">
        <v>0.4</v>
      </c>
      <c r="T50" s="35">
        <v>0.33300000000000002</v>
      </c>
      <c r="U50" s="43">
        <f t="shared" ref="U50:U58" si="55">S50*T50</f>
        <v>0.13320000000000001</v>
      </c>
      <c r="V50" s="42">
        <v>0.4</v>
      </c>
      <c r="W50" s="35">
        <v>0.33300000000000002</v>
      </c>
      <c r="X50" s="43">
        <f t="shared" ref="X50:X58" si="56">V50*W50</f>
        <v>0.13320000000000001</v>
      </c>
      <c r="Y50" s="42">
        <v>0.4</v>
      </c>
      <c r="Z50" s="35">
        <v>0.33300000000000002</v>
      </c>
      <c r="AA50" s="43">
        <f t="shared" ref="AA50:AA58" si="57">Y50*Z50</f>
        <v>0.13320000000000001</v>
      </c>
    </row>
    <row r="51" spans="1:27" x14ac:dyDescent="0.3">
      <c r="B51" s="72"/>
      <c r="C51" s="43" t="str">
        <v>C-D</v>
      </c>
      <c r="D51" s="42">
        <v>0.4</v>
      </c>
      <c r="E51" s="35">
        <v>0.33300000000000002</v>
      </c>
      <c r="F51" s="43">
        <f t="shared" si="50"/>
        <v>0.13320000000000001</v>
      </c>
      <c r="G51" s="42">
        <v>0.4</v>
      </c>
      <c r="H51" s="35">
        <v>0.33300000000000002</v>
      </c>
      <c r="I51" s="43">
        <f t="shared" si="51"/>
        <v>0.13320000000000001</v>
      </c>
      <c r="J51" s="42">
        <v>0.4</v>
      </c>
      <c r="K51" s="35">
        <v>2</v>
      </c>
      <c r="L51" s="43">
        <f t="shared" si="52"/>
        <v>0.8</v>
      </c>
      <c r="M51" s="42">
        <v>0.4</v>
      </c>
      <c r="N51" s="35">
        <v>0.33300000000000002</v>
      </c>
      <c r="O51" s="43">
        <f t="shared" si="53"/>
        <v>0.13320000000000001</v>
      </c>
      <c r="P51" s="42">
        <v>0.4</v>
      </c>
      <c r="Q51" s="35">
        <v>0.33300000000000002</v>
      </c>
      <c r="R51" s="43">
        <f t="shared" si="54"/>
        <v>0.13320000000000001</v>
      </c>
      <c r="S51" s="42">
        <v>0.4</v>
      </c>
      <c r="T51" s="35">
        <v>0.33300000000000002</v>
      </c>
      <c r="U51" s="43">
        <f t="shared" si="55"/>
        <v>0.13320000000000001</v>
      </c>
      <c r="V51" s="42">
        <v>0.4</v>
      </c>
      <c r="W51" s="35">
        <v>0.33300000000000002</v>
      </c>
      <c r="X51" s="43">
        <f t="shared" si="56"/>
        <v>0.13320000000000001</v>
      </c>
      <c r="Y51" s="42">
        <v>0.4</v>
      </c>
      <c r="Z51" s="35">
        <v>0.33300000000000002</v>
      </c>
      <c r="AA51" s="43">
        <f t="shared" si="57"/>
        <v>0.13320000000000001</v>
      </c>
    </row>
    <row r="52" spans="1:27" x14ac:dyDescent="0.3">
      <c r="B52" s="72"/>
      <c r="C52" s="43" t="str">
        <v>B-E</v>
      </c>
      <c r="D52" s="42">
        <v>0.3</v>
      </c>
      <c r="E52" s="35">
        <v>0.33300000000000002</v>
      </c>
      <c r="F52" s="43">
        <f t="shared" si="50"/>
        <v>9.9900000000000003E-2</v>
      </c>
      <c r="G52" s="42">
        <v>0.3</v>
      </c>
      <c r="H52" s="35">
        <v>0.33300000000000002</v>
      </c>
      <c r="I52" s="43">
        <f t="shared" si="51"/>
        <v>9.9900000000000003E-2</v>
      </c>
      <c r="J52" s="42">
        <v>0.3</v>
      </c>
      <c r="K52" s="35">
        <v>0.33300000000000002</v>
      </c>
      <c r="L52" s="43">
        <f t="shared" si="52"/>
        <v>9.9900000000000003E-2</v>
      </c>
      <c r="M52" s="42">
        <v>0.3</v>
      </c>
      <c r="N52" s="35">
        <v>4</v>
      </c>
      <c r="O52" s="43">
        <f t="shared" si="53"/>
        <v>1.2</v>
      </c>
      <c r="P52" s="42">
        <v>0.3</v>
      </c>
      <c r="Q52" s="35">
        <v>4</v>
      </c>
      <c r="R52" s="43">
        <f t="shared" si="54"/>
        <v>1.2</v>
      </c>
      <c r="S52" s="42">
        <v>0.3</v>
      </c>
      <c r="T52" s="35">
        <v>4</v>
      </c>
      <c r="U52" s="43">
        <f t="shared" si="55"/>
        <v>1.2</v>
      </c>
      <c r="V52" s="42">
        <v>0.3</v>
      </c>
      <c r="W52" s="35">
        <v>4</v>
      </c>
      <c r="X52" s="43">
        <f t="shared" si="56"/>
        <v>1.2</v>
      </c>
      <c r="Y52" s="42">
        <v>0.3</v>
      </c>
      <c r="Z52" s="35">
        <v>4</v>
      </c>
      <c r="AA52" s="43">
        <f t="shared" si="57"/>
        <v>1.2</v>
      </c>
    </row>
    <row r="53" spans="1:27" x14ac:dyDescent="0.3">
      <c r="B53" s="72"/>
      <c r="C53" s="43" t="str">
        <v>E-F</v>
      </c>
      <c r="D53" s="42">
        <v>0.3</v>
      </c>
      <c r="E53" s="35">
        <v>0.33300000000000002</v>
      </c>
      <c r="F53" s="43">
        <f t="shared" si="50"/>
        <v>9.9900000000000003E-2</v>
      </c>
      <c r="G53" s="42">
        <v>0.3</v>
      </c>
      <c r="H53" s="35">
        <v>0.33300000000000002</v>
      </c>
      <c r="I53" s="43">
        <f t="shared" si="51"/>
        <v>9.9900000000000003E-2</v>
      </c>
      <c r="J53" s="42">
        <v>0.3</v>
      </c>
      <c r="K53" s="35">
        <v>0.33300000000000002</v>
      </c>
      <c r="L53" s="43">
        <f t="shared" si="52"/>
        <v>9.9900000000000003E-2</v>
      </c>
      <c r="M53" s="42">
        <v>0.3</v>
      </c>
      <c r="N53" s="35">
        <v>3</v>
      </c>
      <c r="O53" s="43">
        <f t="shared" si="53"/>
        <v>0.89999999999999991</v>
      </c>
      <c r="P53" s="42">
        <v>0.3</v>
      </c>
      <c r="Q53" s="35">
        <v>3</v>
      </c>
      <c r="R53" s="43">
        <f t="shared" si="54"/>
        <v>0.89999999999999991</v>
      </c>
      <c r="S53" s="42">
        <v>0.3</v>
      </c>
      <c r="T53" s="35">
        <v>3</v>
      </c>
      <c r="U53" s="43">
        <f t="shared" si="55"/>
        <v>0.89999999999999991</v>
      </c>
      <c r="V53" s="42">
        <v>0.3</v>
      </c>
      <c r="W53" s="35">
        <v>3</v>
      </c>
      <c r="X53" s="43">
        <f t="shared" si="56"/>
        <v>0.89999999999999991</v>
      </c>
      <c r="Y53" s="42">
        <v>0.3</v>
      </c>
      <c r="Z53" s="35">
        <v>3</v>
      </c>
      <c r="AA53" s="43">
        <f t="shared" si="57"/>
        <v>0.89999999999999991</v>
      </c>
    </row>
    <row r="54" spans="1:27" x14ac:dyDescent="0.3">
      <c r="B54" s="72"/>
      <c r="C54" s="43" t="str">
        <v>F-G</v>
      </c>
      <c r="D54" s="42">
        <v>0.6</v>
      </c>
      <c r="E54" s="35">
        <v>0.33300000000000002</v>
      </c>
      <c r="F54" s="43">
        <f t="shared" si="50"/>
        <v>0.19980000000000001</v>
      </c>
      <c r="G54" s="42">
        <v>0.6</v>
      </c>
      <c r="H54" s="35">
        <v>0.33300000000000002</v>
      </c>
      <c r="I54" s="43">
        <f t="shared" si="51"/>
        <v>0.19980000000000001</v>
      </c>
      <c r="J54" s="42">
        <v>0.6</v>
      </c>
      <c r="K54" s="35">
        <v>0.33300000000000002</v>
      </c>
      <c r="L54" s="43">
        <f t="shared" si="52"/>
        <v>0.19980000000000001</v>
      </c>
      <c r="M54" s="42">
        <v>0.6</v>
      </c>
      <c r="N54" s="35">
        <v>2.5</v>
      </c>
      <c r="O54" s="43">
        <f t="shared" si="53"/>
        <v>1.5</v>
      </c>
      <c r="P54" s="42">
        <v>0.6</v>
      </c>
      <c r="Q54" s="35">
        <v>2.5</v>
      </c>
      <c r="R54" s="43">
        <f t="shared" si="54"/>
        <v>1.5</v>
      </c>
      <c r="S54" s="42">
        <v>0.6</v>
      </c>
      <c r="T54" s="35">
        <v>2.5</v>
      </c>
      <c r="U54" s="43">
        <f t="shared" si="55"/>
        <v>1.5</v>
      </c>
      <c r="V54" s="42">
        <v>0.6</v>
      </c>
      <c r="W54" s="35">
        <v>2.5</v>
      </c>
      <c r="X54" s="43">
        <f t="shared" si="56"/>
        <v>1.5</v>
      </c>
      <c r="Y54" s="42">
        <v>0.6</v>
      </c>
      <c r="Z54" s="35">
        <v>2.5</v>
      </c>
      <c r="AA54" s="43">
        <f t="shared" si="57"/>
        <v>1.5</v>
      </c>
    </row>
    <row r="55" spans="1:27" x14ac:dyDescent="0.3">
      <c r="B55" s="72"/>
      <c r="C55" s="43" t="str">
        <v>F-H</v>
      </c>
      <c r="D55" s="42">
        <v>0.5</v>
      </c>
      <c r="E55" s="35">
        <v>0.33300000000000002</v>
      </c>
      <c r="F55" s="43">
        <f t="shared" si="50"/>
        <v>0.16650000000000001</v>
      </c>
      <c r="G55" s="42">
        <v>0.5</v>
      </c>
      <c r="H55" s="35">
        <v>0.33300000000000002</v>
      </c>
      <c r="I55" s="43">
        <f t="shared" si="51"/>
        <v>0.16650000000000001</v>
      </c>
      <c r="J55" s="42">
        <v>0.5</v>
      </c>
      <c r="K55" s="35">
        <v>0.33300000000000002</v>
      </c>
      <c r="L55" s="43">
        <f t="shared" si="52"/>
        <v>0.16650000000000001</v>
      </c>
      <c r="M55" s="42">
        <v>0.5</v>
      </c>
      <c r="N55" s="35">
        <v>3</v>
      </c>
      <c r="O55" s="43">
        <f t="shared" si="53"/>
        <v>1.5</v>
      </c>
      <c r="P55" s="42">
        <v>0.5</v>
      </c>
      <c r="Q55" s="35">
        <v>3</v>
      </c>
      <c r="R55" s="43">
        <f t="shared" si="54"/>
        <v>1.5</v>
      </c>
      <c r="S55" s="42">
        <v>0.5</v>
      </c>
      <c r="T55" s="35">
        <v>3</v>
      </c>
      <c r="U55" s="43">
        <f t="shared" si="55"/>
        <v>1.5</v>
      </c>
      <c r="V55" s="42">
        <v>0.5</v>
      </c>
      <c r="W55" s="35">
        <v>3</v>
      </c>
      <c r="X55" s="43">
        <f t="shared" si="56"/>
        <v>1.5</v>
      </c>
      <c r="Y55" s="42">
        <v>0.5</v>
      </c>
      <c r="Z55" s="35">
        <v>3</v>
      </c>
      <c r="AA55" s="43">
        <f t="shared" si="57"/>
        <v>1.5</v>
      </c>
    </row>
    <row r="56" spans="1:27" x14ac:dyDescent="0.3">
      <c r="B56" s="72"/>
      <c r="C56" s="43" t="str">
        <v>H-I</v>
      </c>
      <c r="D56" s="42">
        <v>0.3</v>
      </c>
      <c r="E56" s="35">
        <v>0.33300000000000002</v>
      </c>
      <c r="F56" s="43">
        <f t="shared" si="50"/>
        <v>9.9900000000000003E-2</v>
      </c>
      <c r="G56" s="42">
        <v>0.3</v>
      </c>
      <c r="H56" s="35">
        <v>0.33300000000000002</v>
      </c>
      <c r="I56" s="43">
        <f t="shared" si="51"/>
        <v>9.9900000000000003E-2</v>
      </c>
      <c r="J56" s="42">
        <v>0.3</v>
      </c>
      <c r="K56" s="35">
        <v>0.33300000000000002</v>
      </c>
      <c r="L56" s="43">
        <f t="shared" si="52"/>
        <v>9.9900000000000003E-2</v>
      </c>
      <c r="M56" s="42">
        <v>0.3</v>
      </c>
      <c r="N56" s="35">
        <v>3</v>
      </c>
      <c r="O56" s="43">
        <f t="shared" si="53"/>
        <v>0.89999999999999991</v>
      </c>
      <c r="P56" s="42">
        <v>0.3</v>
      </c>
      <c r="Q56" s="35">
        <v>3</v>
      </c>
      <c r="R56" s="43">
        <f t="shared" si="54"/>
        <v>0.89999999999999991</v>
      </c>
      <c r="S56" s="42">
        <v>0.3</v>
      </c>
      <c r="T56" s="35">
        <v>3</v>
      </c>
      <c r="U56" s="43">
        <f t="shared" si="55"/>
        <v>0.89999999999999991</v>
      </c>
      <c r="V56" s="42">
        <v>0.3</v>
      </c>
      <c r="W56" s="35">
        <v>3</v>
      </c>
      <c r="X56" s="43">
        <f t="shared" si="56"/>
        <v>0.89999999999999991</v>
      </c>
      <c r="Y56" s="42">
        <v>0.3</v>
      </c>
      <c r="Z56" s="35">
        <v>3</v>
      </c>
      <c r="AA56" s="43">
        <f t="shared" si="57"/>
        <v>0.89999999999999991</v>
      </c>
    </row>
    <row r="57" spans="1:27" x14ac:dyDescent="0.3">
      <c r="B57" s="72"/>
      <c r="C57" s="43" t="str">
        <v>I-J</v>
      </c>
      <c r="D57" s="42">
        <v>0.2</v>
      </c>
      <c r="E57" s="35">
        <v>0.33300000000000002</v>
      </c>
      <c r="F57" s="43">
        <f t="shared" si="50"/>
        <v>6.6600000000000006E-2</v>
      </c>
      <c r="G57" s="42">
        <v>0.2</v>
      </c>
      <c r="H57" s="35">
        <v>0.33300000000000002</v>
      </c>
      <c r="I57" s="43">
        <f t="shared" si="51"/>
        <v>6.6600000000000006E-2</v>
      </c>
      <c r="J57" s="42">
        <v>0.2</v>
      </c>
      <c r="K57" s="35">
        <v>0.33300000000000002</v>
      </c>
      <c r="L57" s="43">
        <f t="shared" si="52"/>
        <v>6.6600000000000006E-2</v>
      </c>
      <c r="M57" s="42">
        <v>0.2</v>
      </c>
      <c r="N57" s="35">
        <v>1</v>
      </c>
      <c r="O57" s="43">
        <f t="shared" si="53"/>
        <v>0.2</v>
      </c>
      <c r="P57" s="42">
        <v>0.2</v>
      </c>
      <c r="Q57" s="35">
        <v>1</v>
      </c>
      <c r="R57" s="43">
        <f t="shared" si="54"/>
        <v>0.2</v>
      </c>
      <c r="S57" s="42">
        <v>0.2</v>
      </c>
      <c r="T57" s="35">
        <v>1</v>
      </c>
      <c r="U57" s="43">
        <f t="shared" si="55"/>
        <v>0.2</v>
      </c>
      <c r="V57" s="42">
        <v>0.2</v>
      </c>
      <c r="W57" s="35">
        <v>1</v>
      </c>
      <c r="X57" s="43">
        <f t="shared" si="56"/>
        <v>0.2</v>
      </c>
      <c r="Y57" s="42">
        <v>0.2</v>
      </c>
      <c r="Z57" s="35">
        <v>1</v>
      </c>
      <c r="AA57" s="43">
        <f t="shared" si="57"/>
        <v>0.2</v>
      </c>
    </row>
    <row r="58" spans="1:27" x14ac:dyDescent="0.3">
      <c r="B58" s="73"/>
      <c r="C58" s="44" t="str">
        <v>I-K</v>
      </c>
      <c r="D58" s="45">
        <v>0.3</v>
      </c>
      <c r="E58" s="46">
        <v>0.33300000000000002</v>
      </c>
      <c r="F58" s="44">
        <f t="shared" si="50"/>
        <v>9.9900000000000003E-2</v>
      </c>
      <c r="G58" s="45">
        <v>0.3</v>
      </c>
      <c r="H58" s="46">
        <v>0.33300000000000002</v>
      </c>
      <c r="I58" s="44">
        <f t="shared" si="51"/>
        <v>9.9900000000000003E-2</v>
      </c>
      <c r="J58" s="45">
        <v>0.3</v>
      </c>
      <c r="K58" s="46">
        <v>0.33300000000000002</v>
      </c>
      <c r="L58" s="44">
        <f t="shared" si="52"/>
        <v>9.9900000000000003E-2</v>
      </c>
      <c r="M58" s="45">
        <v>0.3</v>
      </c>
      <c r="N58" s="46">
        <v>2.5</v>
      </c>
      <c r="O58" s="44">
        <f t="shared" si="53"/>
        <v>0.75</v>
      </c>
      <c r="P58" s="45">
        <v>0.3</v>
      </c>
      <c r="Q58" s="46">
        <v>2.5</v>
      </c>
      <c r="R58" s="44">
        <f t="shared" si="54"/>
        <v>0.75</v>
      </c>
      <c r="S58" s="45">
        <v>0.3</v>
      </c>
      <c r="T58" s="46">
        <v>2.5</v>
      </c>
      <c r="U58" s="44">
        <f t="shared" si="55"/>
        <v>0.75</v>
      </c>
      <c r="V58" s="45">
        <v>0.3</v>
      </c>
      <c r="W58" s="46">
        <v>2.5</v>
      </c>
      <c r="X58" s="44">
        <f t="shared" si="56"/>
        <v>0.75</v>
      </c>
      <c r="Y58" s="45">
        <v>0.3</v>
      </c>
      <c r="Z58" s="46">
        <v>2.5</v>
      </c>
      <c r="AA58" s="44">
        <f t="shared" si="57"/>
        <v>0.75</v>
      </c>
    </row>
    <row r="59" spans="1:27" x14ac:dyDescent="0.3">
      <c r="C59" s="35" t="s">
        <v>63</v>
      </c>
      <c r="D59" s="35">
        <f>SUM(_xlfn.ANCHORARRAY(D49))</f>
        <v>3.9</v>
      </c>
      <c r="E59" s="35">
        <f>F59/D59</f>
        <v>0.66638461538461546</v>
      </c>
      <c r="F59" s="35">
        <f>SUM(F49:F58)</f>
        <v>2.5989000000000004</v>
      </c>
      <c r="G59" s="35">
        <f t="shared" ref="G59" si="58">SUM(_xlfn.ANCHORARRAY(G49))</f>
        <v>3.9</v>
      </c>
      <c r="H59" s="35">
        <f t="shared" ref="H59" si="59">I59/G59</f>
        <v>0.83735897435897433</v>
      </c>
      <c r="I59" s="35">
        <f>SUM(I49:I58)</f>
        <v>3.2656999999999998</v>
      </c>
      <c r="J59" s="35">
        <f t="shared" ref="J59" si="60">SUM(_xlfn.ANCHORARRAY(J49))</f>
        <v>3.9</v>
      </c>
      <c r="K59" s="35">
        <f t="shared" ref="K59" si="61">L59/J59</f>
        <v>1.0083333333333333</v>
      </c>
      <c r="L59" s="35">
        <f>SUM(L49:L58)</f>
        <v>3.9324999999999997</v>
      </c>
      <c r="M59" s="35">
        <f t="shared" ref="M59" si="62">SUM(_xlfn.ANCHORARRAY(M49))</f>
        <v>3.9</v>
      </c>
      <c r="N59" s="35">
        <f t="shared" ref="N59" si="63">O59/M59</f>
        <v>2.2349743589743589</v>
      </c>
      <c r="O59" s="35">
        <f>SUM(O49:O58)</f>
        <v>8.7164000000000001</v>
      </c>
      <c r="P59" s="35">
        <f t="shared" ref="P59" si="64">SUM(_xlfn.ANCHORARRAY(P49))</f>
        <v>3.9</v>
      </c>
      <c r="Q59" s="35">
        <f>R59/P59</f>
        <v>2.2349743589743589</v>
      </c>
      <c r="R59" s="35">
        <f>SUM(R49:R58)</f>
        <v>8.7164000000000001</v>
      </c>
      <c r="S59" s="35">
        <f t="shared" ref="S59" si="65">SUM(_xlfn.ANCHORARRAY(S49))</f>
        <v>3.9</v>
      </c>
      <c r="T59" s="35">
        <f t="shared" ref="T59" si="66">U59/S59</f>
        <v>2.2349743589743589</v>
      </c>
      <c r="U59" s="35">
        <f>SUM(U49:U58)</f>
        <v>8.7164000000000001</v>
      </c>
      <c r="V59" s="35">
        <f t="shared" ref="V59" si="67">SUM(_xlfn.ANCHORARRAY(V49))</f>
        <v>3.9</v>
      </c>
      <c r="W59" s="35">
        <f t="shared" ref="W59" si="68">X59/V59</f>
        <v>2.2349743589743589</v>
      </c>
      <c r="X59" s="35">
        <f>SUM(X49:X58)</f>
        <v>8.7164000000000001</v>
      </c>
      <c r="Y59" s="35">
        <f t="shared" ref="Y59" si="69">SUM(_xlfn.ANCHORARRAY(Y49))</f>
        <v>3.9</v>
      </c>
      <c r="Z59" s="35">
        <f t="shared" ref="Z59" si="70">AA59/Y59</f>
        <v>2.2349743589743589</v>
      </c>
      <c r="AA59" s="35">
        <f>SUM(AA49:AA58)</f>
        <v>8.7164000000000001</v>
      </c>
    </row>
    <row r="62" spans="1:27" x14ac:dyDescent="0.3">
      <c r="A62" s="49" t="s">
        <v>67</v>
      </c>
      <c r="B62" s="36"/>
      <c r="C62" s="37"/>
      <c r="D62" s="67" t="s">
        <v>54</v>
      </c>
      <c r="E62" s="68"/>
      <c r="F62" s="69"/>
      <c r="G62" s="67" t="s">
        <v>55</v>
      </c>
      <c r="H62" s="68"/>
      <c r="I62" s="69"/>
      <c r="J62" s="67" t="s">
        <v>56</v>
      </c>
      <c r="K62" s="68"/>
      <c r="L62" s="69"/>
      <c r="M62" s="67" t="s">
        <v>57</v>
      </c>
      <c r="N62" s="68"/>
      <c r="O62" s="69"/>
      <c r="P62" s="67" t="s">
        <v>58</v>
      </c>
      <c r="Q62" s="68"/>
      <c r="R62" s="69"/>
      <c r="S62" s="67" t="s">
        <v>59</v>
      </c>
      <c r="T62" s="68"/>
      <c r="U62" s="69"/>
      <c r="V62" s="67" t="s">
        <v>60</v>
      </c>
      <c r="W62" s="68"/>
      <c r="X62" s="69"/>
      <c r="Y62" s="67" t="s">
        <v>61</v>
      </c>
      <c r="Z62" s="68"/>
      <c r="AA62" s="69"/>
    </row>
    <row r="63" spans="1:27" x14ac:dyDescent="0.3">
      <c r="B63" s="70" t="s">
        <v>50</v>
      </c>
      <c r="C63" s="71"/>
      <c r="D63" s="42" t="s">
        <v>53</v>
      </c>
      <c r="E63" s="35" t="s">
        <v>52</v>
      </c>
      <c r="F63" s="43" t="s">
        <v>51</v>
      </c>
      <c r="G63" s="42" t="s">
        <v>53</v>
      </c>
      <c r="H63" s="35" t="s">
        <v>52</v>
      </c>
      <c r="I63" s="43" t="s">
        <v>51</v>
      </c>
      <c r="J63" s="42" t="s">
        <v>53</v>
      </c>
      <c r="K63" s="35" t="s">
        <v>52</v>
      </c>
      <c r="L63" s="43" t="s">
        <v>51</v>
      </c>
      <c r="M63" s="42" t="s">
        <v>53</v>
      </c>
      <c r="N63" s="35" t="s">
        <v>52</v>
      </c>
      <c r="O63" s="43" t="s">
        <v>51</v>
      </c>
      <c r="P63" s="42" t="s">
        <v>53</v>
      </c>
      <c r="Q63" s="35" t="s">
        <v>52</v>
      </c>
      <c r="R63" s="43" t="s">
        <v>51</v>
      </c>
      <c r="S63" s="42" t="s">
        <v>53</v>
      </c>
      <c r="T63" s="35" t="s">
        <v>52</v>
      </c>
      <c r="U63" s="43" t="s">
        <v>51</v>
      </c>
      <c r="V63" s="42" t="s">
        <v>53</v>
      </c>
      <c r="W63" s="35" t="s">
        <v>52</v>
      </c>
      <c r="X63" s="43" t="s">
        <v>51</v>
      </c>
      <c r="Y63" s="42" t="s">
        <v>53</v>
      </c>
      <c r="Z63" s="35" t="s">
        <v>52</v>
      </c>
      <c r="AA63" s="43" t="s">
        <v>51</v>
      </c>
    </row>
    <row r="64" spans="1:27" ht="14.4" customHeight="1" x14ac:dyDescent="0.3">
      <c r="B64" s="72" t="s">
        <v>62</v>
      </c>
      <c r="C64" s="43" t="str" cm="1">
        <f t="array" ref="C64:C73">'DATA AND SCENARIO'!$E$2:$E$11</f>
        <v>A-B</v>
      </c>
      <c r="D64" s="42" cm="1">
        <f t="array" ref="D64:D73">'DATA AND SCENARIO'!$F$2:$F$11</f>
        <v>0.6</v>
      </c>
      <c r="E64" s="35">
        <v>2.5</v>
      </c>
      <c r="F64" s="43">
        <f>D64*E64</f>
        <v>1.5</v>
      </c>
      <c r="G64" s="42" cm="1">
        <f t="array" ref="G64:G73">'DATA AND SCENARIO'!$F$2:$F$11</f>
        <v>0.6</v>
      </c>
      <c r="H64" s="35">
        <v>2.5</v>
      </c>
      <c r="I64" s="43">
        <f>G64*H64</f>
        <v>1.5</v>
      </c>
      <c r="J64" s="42" cm="1">
        <f t="array" ref="J64:J73">'DATA AND SCENARIO'!$F$2:$F$11</f>
        <v>0.6</v>
      </c>
      <c r="K64" s="35">
        <v>2.5</v>
      </c>
      <c r="L64" s="43">
        <f>J64*K64</f>
        <v>1.5</v>
      </c>
      <c r="M64" s="42" cm="1">
        <f t="array" ref="M64:M73">'DATA AND SCENARIO'!$F$2:$F$11</f>
        <v>0.6</v>
      </c>
      <c r="N64" s="35">
        <v>2.5</v>
      </c>
      <c r="O64" s="43">
        <f>M64*N64</f>
        <v>1.5</v>
      </c>
      <c r="P64" s="42" cm="1">
        <f t="array" ref="P64:P73">'DATA AND SCENARIO'!$F$2:$F$11</f>
        <v>0.6</v>
      </c>
      <c r="Q64" s="35">
        <v>2.5</v>
      </c>
      <c r="R64" s="43">
        <f>P64*Q64</f>
        <v>1.5</v>
      </c>
      <c r="S64" s="42" cm="1">
        <f t="array" ref="S64:S73">'DATA AND SCENARIO'!$F$2:$F$11</f>
        <v>0.6</v>
      </c>
      <c r="T64" s="35">
        <v>2.5</v>
      </c>
      <c r="U64" s="43">
        <f>S64*T64</f>
        <v>1.5</v>
      </c>
      <c r="V64" s="42" cm="1">
        <f t="array" ref="V64:V73">'DATA AND SCENARIO'!$F$2:$F$11</f>
        <v>0.6</v>
      </c>
      <c r="W64" s="35">
        <v>2.5</v>
      </c>
      <c r="X64" s="43">
        <f>V64*W64</f>
        <v>1.5</v>
      </c>
      <c r="Y64" s="42" cm="1">
        <f t="array" ref="Y64:Y73">'DATA AND SCENARIO'!$F$2:$F$11</f>
        <v>0.6</v>
      </c>
      <c r="Z64" s="35">
        <v>2.5</v>
      </c>
      <c r="AA64" s="43">
        <f>Y64*Z64</f>
        <v>1.5</v>
      </c>
    </row>
    <row r="65" spans="1:27" x14ac:dyDescent="0.3">
      <c r="B65" s="72"/>
      <c r="C65" s="43" t="str">
        <v>B-C</v>
      </c>
      <c r="D65" s="42">
        <v>0.4</v>
      </c>
      <c r="E65" s="35">
        <v>0.33300000000000002</v>
      </c>
      <c r="F65" s="43">
        <f t="shared" ref="F65:F73" si="71">D65*E65</f>
        <v>0.13320000000000001</v>
      </c>
      <c r="G65" s="42">
        <v>0.4</v>
      </c>
      <c r="H65" s="35">
        <v>2</v>
      </c>
      <c r="I65" s="43">
        <f t="shared" ref="I65:I73" si="72">G65*H65</f>
        <v>0.8</v>
      </c>
      <c r="J65" s="42">
        <v>0.4</v>
      </c>
      <c r="K65" s="35">
        <v>2</v>
      </c>
      <c r="L65" s="43">
        <f t="shared" ref="L65:L73" si="73">J65*K65</f>
        <v>0.8</v>
      </c>
      <c r="M65" s="42">
        <v>0.4</v>
      </c>
      <c r="N65" s="35">
        <v>0.33300000000000002</v>
      </c>
      <c r="O65" s="43">
        <f t="shared" ref="O65:O73" si="74">M65*N65</f>
        <v>0.13320000000000001</v>
      </c>
      <c r="P65" s="42">
        <v>0.4</v>
      </c>
      <c r="Q65" s="35">
        <v>0.33300000000000002</v>
      </c>
      <c r="R65" s="43">
        <f t="shared" ref="R65:R73" si="75">P65*Q65</f>
        <v>0.13320000000000001</v>
      </c>
      <c r="S65" s="42">
        <v>0.4</v>
      </c>
      <c r="T65" s="35">
        <v>0.33300000000000002</v>
      </c>
      <c r="U65" s="43">
        <f t="shared" ref="U65:U73" si="76">S65*T65</f>
        <v>0.13320000000000001</v>
      </c>
      <c r="V65" s="42">
        <v>0.4</v>
      </c>
      <c r="W65" s="35">
        <v>0.33300000000000002</v>
      </c>
      <c r="X65" s="43">
        <f t="shared" ref="X65:X73" si="77">V65*W65</f>
        <v>0.13320000000000001</v>
      </c>
      <c r="Y65" s="42">
        <v>0.4</v>
      </c>
      <c r="Z65" s="35">
        <v>0.33300000000000002</v>
      </c>
      <c r="AA65" s="43">
        <f t="shared" ref="AA65:AA73" si="78">Y65*Z65</f>
        <v>0.13320000000000001</v>
      </c>
    </row>
    <row r="66" spans="1:27" x14ac:dyDescent="0.3">
      <c r="B66" s="72"/>
      <c r="C66" s="43" t="str">
        <v>C-D</v>
      </c>
      <c r="D66" s="42">
        <v>0.4</v>
      </c>
      <c r="E66" s="35">
        <v>0.33300000000000002</v>
      </c>
      <c r="F66" s="43">
        <f t="shared" si="71"/>
        <v>0.13320000000000001</v>
      </c>
      <c r="G66" s="42">
        <v>0.4</v>
      </c>
      <c r="H66" s="35">
        <v>0.33300000000000002</v>
      </c>
      <c r="I66" s="43">
        <f t="shared" si="72"/>
        <v>0.13320000000000001</v>
      </c>
      <c r="J66" s="42">
        <v>0.4</v>
      </c>
      <c r="K66" s="35">
        <v>2</v>
      </c>
      <c r="L66" s="43">
        <f t="shared" si="73"/>
        <v>0.8</v>
      </c>
      <c r="M66" s="42">
        <v>0.4</v>
      </c>
      <c r="N66" s="35">
        <v>0.33300000000000002</v>
      </c>
      <c r="O66" s="43">
        <f t="shared" si="74"/>
        <v>0.13320000000000001</v>
      </c>
      <c r="P66" s="42">
        <v>0.4</v>
      </c>
      <c r="Q66" s="35">
        <v>0.33300000000000002</v>
      </c>
      <c r="R66" s="43">
        <f t="shared" si="75"/>
        <v>0.13320000000000001</v>
      </c>
      <c r="S66" s="42">
        <v>0.4</v>
      </c>
      <c r="T66" s="35">
        <v>0.33300000000000002</v>
      </c>
      <c r="U66" s="43">
        <f t="shared" si="76"/>
        <v>0.13320000000000001</v>
      </c>
      <c r="V66" s="42">
        <v>0.4</v>
      </c>
      <c r="W66" s="35">
        <v>0.33300000000000002</v>
      </c>
      <c r="X66" s="43">
        <f t="shared" si="77"/>
        <v>0.13320000000000001</v>
      </c>
      <c r="Y66" s="42">
        <v>0.4</v>
      </c>
      <c r="Z66" s="35">
        <v>0.33300000000000002</v>
      </c>
      <c r="AA66" s="43">
        <f t="shared" si="78"/>
        <v>0.13320000000000001</v>
      </c>
    </row>
    <row r="67" spans="1:27" x14ac:dyDescent="0.3">
      <c r="B67" s="72"/>
      <c r="C67" s="43" t="str">
        <v>B-E</v>
      </c>
      <c r="D67" s="42">
        <v>0.3</v>
      </c>
      <c r="E67" s="35">
        <v>0.33300000000000002</v>
      </c>
      <c r="F67" s="43">
        <f t="shared" si="71"/>
        <v>9.9900000000000003E-2</v>
      </c>
      <c r="G67" s="42">
        <v>0.3</v>
      </c>
      <c r="H67" s="35">
        <v>0.33300000000000002</v>
      </c>
      <c r="I67" s="43">
        <f t="shared" si="72"/>
        <v>9.9900000000000003E-2</v>
      </c>
      <c r="J67" s="42">
        <v>0.3</v>
      </c>
      <c r="K67" s="35">
        <v>0.33300000000000002</v>
      </c>
      <c r="L67" s="43">
        <f t="shared" si="73"/>
        <v>9.9900000000000003E-2</v>
      </c>
      <c r="M67" s="42">
        <v>0.3</v>
      </c>
      <c r="N67" s="35">
        <v>4</v>
      </c>
      <c r="O67" s="43">
        <f t="shared" si="74"/>
        <v>1.2</v>
      </c>
      <c r="P67" s="42">
        <v>0.3</v>
      </c>
      <c r="Q67" s="35">
        <v>4</v>
      </c>
      <c r="R67" s="43">
        <f t="shared" si="75"/>
        <v>1.2</v>
      </c>
      <c r="S67" s="42">
        <v>0.3</v>
      </c>
      <c r="T67" s="35">
        <v>4</v>
      </c>
      <c r="U67" s="43">
        <f t="shared" si="76"/>
        <v>1.2</v>
      </c>
      <c r="V67" s="42">
        <v>0.3</v>
      </c>
      <c r="W67" s="35">
        <v>4</v>
      </c>
      <c r="X67" s="43">
        <f t="shared" si="77"/>
        <v>1.2</v>
      </c>
      <c r="Y67" s="42">
        <v>0.3</v>
      </c>
      <c r="Z67" s="35">
        <v>4</v>
      </c>
      <c r="AA67" s="43">
        <f t="shared" si="78"/>
        <v>1.2</v>
      </c>
    </row>
    <row r="68" spans="1:27" x14ac:dyDescent="0.3">
      <c r="B68" s="72"/>
      <c r="C68" s="43" t="str">
        <v>E-F</v>
      </c>
      <c r="D68" s="42">
        <v>0.3</v>
      </c>
      <c r="E68" s="35">
        <v>0.33300000000000002</v>
      </c>
      <c r="F68" s="43">
        <f t="shared" si="71"/>
        <v>9.9900000000000003E-2</v>
      </c>
      <c r="G68" s="42">
        <v>0.3</v>
      </c>
      <c r="H68" s="35">
        <v>0.33300000000000002</v>
      </c>
      <c r="I68" s="43">
        <f t="shared" si="72"/>
        <v>9.9900000000000003E-2</v>
      </c>
      <c r="J68" s="42">
        <v>0.3</v>
      </c>
      <c r="K68" s="35">
        <v>0.33300000000000002</v>
      </c>
      <c r="L68" s="43">
        <f t="shared" si="73"/>
        <v>9.9900000000000003E-2</v>
      </c>
      <c r="M68" s="42">
        <v>0.3</v>
      </c>
      <c r="N68" s="35">
        <v>0.33300000000000002</v>
      </c>
      <c r="O68" s="43">
        <f t="shared" si="74"/>
        <v>9.9900000000000003E-2</v>
      </c>
      <c r="P68" s="42">
        <v>0.3</v>
      </c>
      <c r="Q68" s="35">
        <v>3</v>
      </c>
      <c r="R68" s="43">
        <f t="shared" si="75"/>
        <v>0.89999999999999991</v>
      </c>
      <c r="S68" s="42">
        <v>0.3</v>
      </c>
      <c r="T68" s="35">
        <v>3</v>
      </c>
      <c r="U68" s="43">
        <f t="shared" si="76"/>
        <v>0.89999999999999991</v>
      </c>
      <c r="V68" s="42">
        <v>0.3</v>
      </c>
      <c r="W68" s="35">
        <v>3</v>
      </c>
      <c r="X68" s="43">
        <f t="shared" si="77"/>
        <v>0.89999999999999991</v>
      </c>
      <c r="Y68" s="42">
        <v>0.3</v>
      </c>
      <c r="Z68" s="35">
        <v>3</v>
      </c>
      <c r="AA68" s="43">
        <f t="shared" si="78"/>
        <v>0.89999999999999991</v>
      </c>
    </row>
    <row r="69" spans="1:27" x14ac:dyDescent="0.3">
      <c r="B69" s="72"/>
      <c r="C69" s="43" t="str">
        <v>F-G</v>
      </c>
      <c r="D69" s="42">
        <v>0.6</v>
      </c>
      <c r="E69" s="35">
        <v>0.33300000000000002</v>
      </c>
      <c r="F69" s="43">
        <f t="shared" si="71"/>
        <v>0.19980000000000001</v>
      </c>
      <c r="G69" s="42">
        <v>0.6</v>
      </c>
      <c r="H69" s="35">
        <v>0.33300000000000002</v>
      </c>
      <c r="I69" s="43">
        <f t="shared" si="72"/>
        <v>0.19980000000000001</v>
      </c>
      <c r="J69" s="42">
        <v>0.6</v>
      </c>
      <c r="K69" s="35">
        <v>0.33300000000000002</v>
      </c>
      <c r="L69" s="43">
        <f t="shared" si="73"/>
        <v>0.19980000000000001</v>
      </c>
      <c r="M69" s="42">
        <v>0.6</v>
      </c>
      <c r="N69" s="35">
        <v>0.33300000000000002</v>
      </c>
      <c r="O69" s="43">
        <f t="shared" si="74"/>
        <v>0.19980000000000001</v>
      </c>
      <c r="P69" s="42">
        <v>0.6</v>
      </c>
      <c r="Q69" s="35">
        <v>2.5</v>
      </c>
      <c r="R69" s="43">
        <f t="shared" si="75"/>
        <v>1.5</v>
      </c>
      <c r="S69" s="42">
        <v>0.6</v>
      </c>
      <c r="T69" s="35">
        <v>2.5</v>
      </c>
      <c r="U69" s="43">
        <f t="shared" si="76"/>
        <v>1.5</v>
      </c>
      <c r="V69" s="42">
        <v>0.6</v>
      </c>
      <c r="W69" s="35">
        <v>2.5</v>
      </c>
      <c r="X69" s="43">
        <f t="shared" si="77"/>
        <v>1.5</v>
      </c>
      <c r="Y69" s="42">
        <v>0.6</v>
      </c>
      <c r="Z69" s="35">
        <v>2.5</v>
      </c>
      <c r="AA69" s="43">
        <f t="shared" si="78"/>
        <v>1.5</v>
      </c>
    </row>
    <row r="70" spans="1:27" x14ac:dyDescent="0.3">
      <c r="B70" s="72"/>
      <c r="C70" s="43" t="str">
        <v>F-H</v>
      </c>
      <c r="D70" s="42">
        <v>0.5</v>
      </c>
      <c r="E70" s="35">
        <v>0.33300000000000002</v>
      </c>
      <c r="F70" s="43">
        <f t="shared" si="71"/>
        <v>0.16650000000000001</v>
      </c>
      <c r="G70" s="42">
        <v>0.5</v>
      </c>
      <c r="H70" s="35">
        <v>0.33300000000000002</v>
      </c>
      <c r="I70" s="43">
        <f t="shared" si="72"/>
        <v>0.16650000000000001</v>
      </c>
      <c r="J70" s="42">
        <v>0.5</v>
      </c>
      <c r="K70" s="35">
        <v>0.33300000000000002</v>
      </c>
      <c r="L70" s="43">
        <f t="shared" si="73"/>
        <v>0.16650000000000001</v>
      </c>
      <c r="M70" s="42">
        <v>0.5</v>
      </c>
      <c r="N70" s="35">
        <v>0.33300000000000002</v>
      </c>
      <c r="O70" s="43">
        <f t="shared" si="74"/>
        <v>0.16650000000000001</v>
      </c>
      <c r="P70" s="42">
        <v>0.5</v>
      </c>
      <c r="Q70" s="35">
        <v>3</v>
      </c>
      <c r="R70" s="43">
        <f t="shared" si="75"/>
        <v>1.5</v>
      </c>
      <c r="S70" s="42">
        <v>0.5</v>
      </c>
      <c r="T70" s="35">
        <v>3</v>
      </c>
      <c r="U70" s="43">
        <f t="shared" si="76"/>
        <v>1.5</v>
      </c>
      <c r="V70" s="42">
        <v>0.5</v>
      </c>
      <c r="W70" s="35">
        <v>3</v>
      </c>
      <c r="X70" s="43">
        <f t="shared" si="77"/>
        <v>1.5</v>
      </c>
      <c r="Y70" s="42">
        <v>0.5</v>
      </c>
      <c r="Z70" s="35">
        <v>3</v>
      </c>
      <c r="AA70" s="43">
        <f t="shared" si="78"/>
        <v>1.5</v>
      </c>
    </row>
    <row r="71" spans="1:27" x14ac:dyDescent="0.3">
      <c r="B71" s="72"/>
      <c r="C71" s="43" t="str">
        <v>H-I</v>
      </c>
      <c r="D71" s="42">
        <v>0.3</v>
      </c>
      <c r="E71" s="35">
        <v>0.33300000000000002</v>
      </c>
      <c r="F71" s="43">
        <f t="shared" si="71"/>
        <v>9.9900000000000003E-2</v>
      </c>
      <c r="G71" s="42">
        <v>0.3</v>
      </c>
      <c r="H71" s="35">
        <v>0.33300000000000002</v>
      </c>
      <c r="I71" s="43">
        <f t="shared" si="72"/>
        <v>9.9900000000000003E-2</v>
      </c>
      <c r="J71" s="42">
        <v>0.3</v>
      </c>
      <c r="K71" s="35">
        <v>0.33300000000000002</v>
      </c>
      <c r="L71" s="43">
        <f t="shared" si="73"/>
        <v>9.9900000000000003E-2</v>
      </c>
      <c r="M71" s="42">
        <v>0.3</v>
      </c>
      <c r="N71" s="35">
        <v>0.33300000000000002</v>
      </c>
      <c r="O71" s="43">
        <f t="shared" si="74"/>
        <v>9.9900000000000003E-2</v>
      </c>
      <c r="P71" s="42">
        <v>0.3</v>
      </c>
      <c r="Q71" s="35">
        <v>3</v>
      </c>
      <c r="R71" s="43">
        <f t="shared" si="75"/>
        <v>0.89999999999999991</v>
      </c>
      <c r="S71" s="42">
        <v>0.3</v>
      </c>
      <c r="T71" s="35">
        <v>3</v>
      </c>
      <c r="U71" s="43">
        <f t="shared" si="76"/>
        <v>0.89999999999999991</v>
      </c>
      <c r="V71" s="42">
        <v>0.3</v>
      </c>
      <c r="W71" s="35">
        <v>3</v>
      </c>
      <c r="X71" s="43">
        <f t="shared" si="77"/>
        <v>0.89999999999999991</v>
      </c>
      <c r="Y71" s="42">
        <v>0.3</v>
      </c>
      <c r="Z71" s="35">
        <v>3</v>
      </c>
      <c r="AA71" s="43">
        <f t="shared" si="78"/>
        <v>0.89999999999999991</v>
      </c>
    </row>
    <row r="72" spans="1:27" x14ac:dyDescent="0.3">
      <c r="B72" s="72"/>
      <c r="C72" s="43" t="str">
        <v>I-J</v>
      </c>
      <c r="D72" s="42">
        <v>0.2</v>
      </c>
      <c r="E72" s="35">
        <v>0.33300000000000002</v>
      </c>
      <c r="F72" s="43">
        <f t="shared" si="71"/>
        <v>6.6600000000000006E-2</v>
      </c>
      <c r="G72" s="42">
        <v>0.2</v>
      </c>
      <c r="H72" s="35">
        <v>0.33300000000000002</v>
      </c>
      <c r="I72" s="43">
        <f t="shared" si="72"/>
        <v>6.6600000000000006E-2</v>
      </c>
      <c r="J72" s="42">
        <v>0.2</v>
      </c>
      <c r="K72" s="35">
        <v>0.33300000000000002</v>
      </c>
      <c r="L72" s="43">
        <f t="shared" si="73"/>
        <v>6.6600000000000006E-2</v>
      </c>
      <c r="M72" s="42">
        <v>0.2</v>
      </c>
      <c r="N72" s="35">
        <v>0.33300000000000002</v>
      </c>
      <c r="O72" s="43">
        <f t="shared" si="74"/>
        <v>6.6600000000000006E-2</v>
      </c>
      <c r="P72" s="42">
        <v>0.2</v>
      </c>
      <c r="Q72" s="35">
        <v>1</v>
      </c>
      <c r="R72" s="43">
        <f t="shared" si="75"/>
        <v>0.2</v>
      </c>
      <c r="S72" s="42">
        <v>0.2</v>
      </c>
      <c r="T72" s="35">
        <v>1</v>
      </c>
      <c r="U72" s="43">
        <f t="shared" si="76"/>
        <v>0.2</v>
      </c>
      <c r="V72" s="42">
        <v>0.2</v>
      </c>
      <c r="W72" s="35">
        <v>1</v>
      </c>
      <c r="X72" s="43">
        <f t="shared" si="77"/>
        <v>0.2</v>
      </c>
      <c r="Y72" s="42">
        <v>0.2</v>
      </c>
      <c r="Z72" s="35">
        <v>1</v>
      </c>
      <c r="AA72" s="43">
        <f t="shared" si="78"/>
        <v>0.2</v>
      </c>
    </row>
    <row r="73" spans="1:27" x14ac:dyDescent="0.3">
      <c r="B73" s="73"/>
      <c r="C73" s="44" t="str">
        <v>I-K</v>
      </c>
      <c r="D73" s="45">
        <v>0.3</v>
      </c>
      <c r="E73" s="46">
        <v>0.33300000000000002</v>
      </c>
      <c r="F73" s="44">
        <f t="shared" si="71"/>
        <v>9.9900000000000003E-2</v>
      </c>
      <c r="G73" s="45">
        <v>0.3</v>
      </c>
      <c r="H73" s="46">
        <v>0.33300000000000002</v>
      </c>
      <c r="I73" s="44">
        <f t="shared" si="72"/>
        <v>9.9900000000000003E-2</v>
      </c>
      <c r="J73" s="45">
        <v>0.3</v>
      </c>
      <c r="K73" s="46">
        <v>0.33300000000000002</v>
      </c>
      <c r="L73" s="44">
        <f t="shared" si="73"/>
        <v>9.9900000000000003E-2</v>
      </c>
      <c r="M73" s="45">
        <v>0.3</v>
      </c>
      <c r="N73" s="46">
        <v>0.33300000000000002</v>
      </c>
      <c r="O73" s="44">
        <f t="shared" si="74"/>
        <v>9.9900000000000003E-2</v>
      </c>
      <c r="P73" s="45">
        <v>0.3</v>
      </c>
      <c r="Q73" s="46">
        <v>2.5</v>
      </c>
      <c r="R73" s="44">
        <f t="shared" si="75"/>
        <v>0.75</v>
      </c>
      <c r="S73" s="45">
        <v>0.3</v>
      </c>
      <c r="T73" s="46">
        <v>2.5</v>
      </c>
      <c r="U73" s="44">
        <f t="shared" si="76"/>
        <v>0.75</v>
      </c>
      <c r="V73" s="45">
        <v>0.3</v>
      </c>
      <c r="W73" s="46">
        <v>2.5</v>
      </c>
      <c r="X73" s="44">
        <f t="shared" si="77"/>
        <v>0.75</v>
      </c>
      <c r="Y73" s="45">
        <v>0.3</v>
      </c>
      <c r="Z73" s="46">
        <v>2.5</v>
      </c>
      <c r="AA73" s="44">
        <f t="shared" si="78"/>
        <v>0.75</v>
      </c>
    </row>
    <row r="74" spans="1:27" x14ac:dyDescent="0.3">
      <c r="C74" s="35" t="s">
        <v>63</v>
      </c>
      <c r="D74" s="35">
        <f>SUM(_xlfn.ANCHORARRAY(D64))</f>
        <v>3.9</v>
      </c>
      <c r="E74" s="35">
        <f>F74/D74</f>
        <v>0.66638461538461546</v>
      </c>
      <c r="F74" s="35">
        <f>SUM(F64:F73)</f>
        <v>2.5989000000000004</v>
      </c>
      <c r="G74" s="35">
        <f t="shared" ref="G74" si="79">SUM(_xlfn.ANCHORARRAY(G64))</f>
        <v>3.9</v>
      </c>
      <c r="H74" s="35">
        <f t="shared" ref="H74" si="80">I74/G74</f>
        <v>0.83735897435897433</v>
      </c>
      <c r="I74" s="35">
        <f>SUM(I64:I73)</f>
        <v>3.2656999999999998</v>
      </c>
      <c r="J74" s="35">
        <f t="shared" ref="J74" si="81">SUM(_xlfn.ANCHORARRAY(J64))</f>
        <v>3.9</v>
      </c>
      <c r="K74" s="35">
        <f t="shared" ref="K74" si="82">L74/J74</f>
        <v>1.0083333333333333</v>
      </c>
      <c r="L74" s="35">
        <f>SUM(L64:L73)</f>
        <v>3.9324999999999997</v>
      </c>
      <c r="M74" s="35">
        <f t="shared" ref="M74" si="83">SUM(_xlfn.ANCHORARRAY(M64))</f>
        <v>3.9</v>
      </c>
      <c r="N74" s="35">
        <f t="shared" ref="N74" si="84">O74/M74</f>
        <v>0.94846153846153858</v>
      </c>
      <c r="O74" s="35">
        <f>SUM(O64:O73)</f>
        <v>3.6990000000000003</v>
      </c>
      <c r="P74" s="35">
        <f t="shared" ref="P74" si="85">SUM(_xlfn.ANCHORARRAY(P64))</f>
        <v>3.9</v>
      </c>
      <c r="Q74" s="35">
        <f t="shared" ref="Q74" si="86">R74/P74</f>
        <v>2.2349743589743589</v>
      </c>
      <c r="R74" s="35">
        <f>SUM(R64:R73)</f>
        <v>8.7164000000000001</v>
      </c>
      <c r="S74" s="35">
        <f t="shared" ref="S74" si="87">SUM(_xlfn.ANCHORARRAY(S64))</f>
        <v>3.9</v>
      </c>
      <c r="T74" s="35">
        <f t="shared" ref="T74" si="88">U74/S74</f>
        <v>2.2349743589743589</v>
      </c>
      <c r="U74" s="35">
        <f>SUM(U64:U73)</f>
        <v>8.7164000000000001</v>
      </c>
      <c r="V74" s="35">
        <f t="shared" ref="V74" si="89">SUM(_xlfn.ANCHORARRAY(V64))</f>
        <v>3.9</v>
      </c>
      <c r="W74" s="35">
        <f t="shared" ref="W74" si="90">X74/V74</f>
        <v>2.2349743589743589</v>
      </c>
      <c r="X74" s="35">
        <f>SUM(X64:X73)</f>
        <v>8.7164000000000001</v>
      </c>
      <c r="Y74" s="35">
        <f t="shared" ref="Y74" si="91">SUM(_xlfn.ANCHORARRAY(Y64))</f>
        <v>3.9</v>
      </c>
      <c r="Z74" s="35">
        <f t="shared" ref="Z74" si="92">AA74/Y74</f>
        <v>2.2349743589743589</v>
      </c>
      <c r="AA74" s="35">
        <f>SUM(AA64:AA73)</f>
        <v>8.7164000000000001</v>
      </c>
    </row>
    <row r="77" spans="1:27" x14ac:dyDescent="0.3">
      <c r="A77" s="49" t="s">
        <v>68</v>
      </c>
      <c r="B77" s="36"/>
      <c r="C77" s="37"/>
      <c r="D77" s="67" t="s">
        <v>54</v>
      </c>
      <c r="E77" s="68"/>
      <c r="F77" s="69"/>
      <c r="G77" s="67" t="s">
        <v>55</v>
      </c>
      <c r="H77" s="68"/>
      <c r="I77" s="69"/>
      <c r="J77" s="67" t="s">
        <v>56</v>
      </c>
      <c r="K77" s="68"/>
      <c r="L77" s="69"/>
      <c r="M77" s="67" t="s">
        <v>57</v>
      </c>
      <c r="N77" s="68"/>
      <c r="O77" s="69"/>
      <c r="P77" s="67" t="s">
        <v>58</v>
      </c>
      <c r="Q77" s="68"/>
      <c r="R77" s="69"/>
      <c r="S77" s="67" t="s">
        <v>59</v>
      </c>
      <c r="T77" s="68"/>
      <c r="U77" s="69"/>
      <c r="V77" s="67" t="s">
        <v>60</v>
      </c>
      <c r="W77" s="68"/>
      <c r="X77" s="69"/>
      <c r="Y77" s="67" t="s">
        <v>61</v>
      </c>
      <c r="Z77" s="68"/>
      <c r="AA77" s="69"/>
    </row>
    <row r="78" spans="1:27" x14ac:dyDescent="0.3">
      <c r="B78" s="70" t="s">
        <v>50</v>
      </c>
      <c r="C78" s="71"/>
      <c r="D78" s="42" t="s">
        <v>53</v>
      </c>
      <c r="E78" s="35" t="s">
        <v>52</v>
      </c>
      <c r="F78" s="43" t="s">
        <v>51</v>
      </c>
      <c r="G78" s="42" t="s">
        <v>53</v>
      </c>
      <c r="H78" s="35" t="s">
        <v>52</v>
      </c>
      <c r="I78" s="43" t="s">
        <v>51</v>
      </c>
      <c r="J78" s="42" t="s">
        <v>53</v>
      </c>
      <c r="K78" s="35" t="s">
        <v>52</v>
      </c>
      <c r="L78" s="43" t="s">
        <v>51</v>
      </c>
      <c r="M78" s="42" t="s">
        <v>53</v>
      </c>
      <c r="N78" s="35" t="s">
        <v>52</v>
      </c>
      <c r="O78" s="43" t="s">
        <v>51</v>
      </c>
      <c r="P78" s="42" t="s">
        <v>53</v>
      </c>
      <c r="Q78" s="35" t="s">
        <v>52</v>
      </c>
      <c r="R78" s="43" t="s">
        <v>51</v>
      </c>
      <c r="S78" s="42" t="s">
        <v>53</v>
      </c>
      <c r="T78" s="35" t="s">
        <v>52</v>
      </c>
      <c r="U78" s="43" t="s">
        <v>51</v>
      </c>
      <c r="V78" s="42" t="s">
        <v>53</v>
      </c>
      <c r="W78" s="35" t="s">
        <v>52</v>
      </c>
      <c r="X78" s="43" t="s">
        <v>51</v>
      </c>
      <c r="Y78" s="42" t="s">
        <v>53</v>
      </c>
      <c r="Z78" s="35" t="s">
        <v>52</v>
      </c>
      <c r="AA78" s="43" t="s">
        <v>51</v>
      </c>
    </row>
    <row r="79" spans="1:27" ht="14.4" customHeight="1" x14ac:dyDescent="0.3">
      <c r="B79" s="72" t="s">
        <v>62</v>
      </c>
      <c r="C79" s="43" t="str" cm="1">
        <f t="array" ref="C79:C88">'DATA AND SCENARIO'!$E$2:$E$11</f>
        <v>A-B</v>
      </c>
      <c r="D79" s="42" cm="1">
        <f t="array" ref="D79:D88">'DATA AND SCENARIO'!$F$2:$F$11</f>
        <v>0.6</v>
      </c>
      <c r="E79" s="35">
        <v>2.5</v>
      </c>
      <c r="F79" s="43">
        <f>D79*E79</f>
        <v>1.5</v>
      </c>
      <c r="G79" s="42" cm="1">
        <f t="array" ref="G79:G88">'DATA AND SCENARIO'!$F$2:$F$11</f>
        <v>0.6</v>
      </c>
      <c r="H79" s="35">
        <v>2.5</v>
      </c>
      <c r="I79" s="43">
        <f>G79*H79</f>
        <v>1.5</v>
      </c>
      <c r="J79" s="42" cm="1">
        <f t="array" ref="J79:J88">'DATA AND SCENARIO'!$F$2:$F$11</f>
        <v>0.6</v>
      </c>
      <c r="K79" s="35">
        <v>2.5</v>
      </c>
      <c r="L79" s="43">
        <f>J79*K79</f>
        <v>1.5</v>
      </c>
      <c r="M79" s="42" cm="1">
        <f t="array" ref="M79:M88">'DATA AND SCENARIO'!$F$2:$F$11</f>
        <v>0.6</v>
      </c>
      <c r="N79" s="35">
        <v>2.5</v>
      </c>
      <c r="O79" s="43">
        <f>M79*N79</f>
        <v>1.5</v>
      </c>
      <c r="P79" s="42" cm="1">
        <f t="array" ref="P79:P88">'DATA AND SCENARIO'!$F$2:$F$11</f>
        <v>0.6</v>
      </c>
      <c r="Q79" s="35">
        <v>2.5</v>
      </c>
      <c r="R79" s="43">
        <f>P79*Q79</f>
        <v>1.5</v>
      </c>
      <c r="S79" s="42" cm="1">
        <f t="array" ref="S79:S88">'DATA AND SCENARIO'!$F$2:$F$11</f>
        <v>0.6</v>
      </c>
      <c r="T79" s="35">
        <v>2.5</v>
      </c>
      <c r="U79" s="43">
        <f>S79*T79</f>
        <v>1.5</v>
      </c>
      <c r="V79" s="42" cm="1">
        <f t="array" ref="V79:V88">'DATA AND SCENARIO'!$F$2:$F$11</f>
        <v>0.6</v>
      </c>
      <c r="W79" s="35">
        <v>2.5</v>
      </c>
      <c r="X79" s="43">
        <f>V79*W79</f>
        <v>1.5</v>
      </c>
      <c r="Y79" s="42" cm="1">
        <f t="array" ref="Y79:Y88">'DATA AND SCENARIO'!$F$2:$F$11</f>
        <v>0.6</v>
      </c>
      <c r="Z79" s="35">
        <v>2.5</v>
      </c>
      <c r="AA79" s="43">
        <f>Y79*Z79</f>
        <v>1.5</v>
      </c>
    </row>
    <row r="80" spans="1:27" x14ac:dyDescent="0.3">
      <c r="B80" s="72"/>
      <c r="C80" s="43" t="str">
        <v>B-C</v>
      </c>
      <c r="D80" s="42">
        <v>0.4</v>
      </c>
      <c r="E80" s="35">
        <v>0.33300000000000002</v>
      </c>
      <c r="F80" s="43">
        <f t="shared" ref="F80:F87" si="93">D80*E80</f>
        <v>0.13320000000000001</v>
      </c>
      <c r="G80" s="42">
        <v>0.4</v>
      </c>
      <c r="H80" s="35">
        <v>2</v>
      </c>
      <c r="I80" s="43">
        <f t="shared" ref="I80:I87" si="94">G80*H80</f>
        <v>0.8</v>
      </c>
      <c r="J80" s="42">
        <v>0.4</v>
      </c>
      <c r="K80" s="35">
        <v>2</v>
      </c>
      <c r="L80" s="43">
        <f t="shared" ref="L80:L87" si="95">J80*K80</f>
        <v>0.8</v>
      </c>
      <c r="M80" s="42">
        <v>0.4</v>
      </c>
      <c r="N80" s="35">
        <v>0.33300000000000002</v>
      </c>
      <c r="O80" s="43">
        <f t="shared" ref="O80:O87" si="96">M80*N80</f>
        <v>0.13320000000000001</v>
      </c>
      <c r="P80" s="42">
        <v>0.4</v>
      </c>
      <c r="Q80" s="35">
        <v>0.33300000000000002</v>
      </c>
      <c r="R80" s="43">
        <f t="shared" ref="R80:R87" si="97">P80*Q80</f>
        <v>0.13320000000000001</v>
      </c>
      <c r="S80" s="42">
        <v>0.4</v>
      </c>
      <c r="T80" s="35">
        <v>0.33300000000000002</v>
      </c>
      <c r="U80" s="43">
        <f t="shared" ref="U80:U87" si="98">S80*T80</f>
        <v>0.13320000000000001</v>
      </c>
      <c r="V80" s="42">
        <v>0.4</v>
      </c>
      <c r="W80" s="35">
        <v>0.33300000000000002</v>
      </c>
      <c r="X80" s="43">
        <f t="shared" ref="X80:X87" si="99">V80*W80</f>
        <v>0.13320000000000001</v>
      </c>
      <c r="Y80" s="42">
        <v>0.4</v>
      </c>
      <c r="Z80" s="35">
        <v>0.33300000000000002</v>
      </c>
      <c r="AA80" s="43">
        <f t="shared" ref="AA80:AA87" si="100">Y80*Z80</f>
        <v>0.13320000000000001</v>
      </c>
    </row>
    <row r="81" spans="1:27" x14ac:dyDescent="0.3">
      <c r="B81" s="72"/>
      <c r="C81" s="43" t="str">
        <v>C-D</v>
      </c>
      <c r="D81" s="42">
        <v>0.4</v>
      </c>
      <c r="E81" s="35">
        <v>0.33300000000000002</v>
      </c>
      <c r="F81" s="43">
        <f t="shared" si="93"/>
        <v>0.13320000000000001</v>
      </c>
      <c r="G81" s="42">
        <v>0.4</v>
      </c>
      <c r="H81" s="35">
        <v>0.33300000000000002</v>
      </c>
      <c r="I81" s="43">
        <f t="shared" si="94"/>
        <v>0.13320000000000001</v>
      </c>
      <c r="J81" s="42">
        <v>0.4</v>
      </c>
      <c r="K81" s="35">
        <v>2</v>
      </c>
      <c r="L81" s="43">
        <f t="shared" si="95"/>
        <v>0.8</v>
      </c>
      <c r="M81" s="42">
        <v>0.4</v>
      </c>
      <c r="N81" s="35">
        <v>0.33300000000000002</v>
      </c>
      <c r="O81" s="43">
        <f t="shared" si="96"/>
        <v>0.13320000000000001</v>
      </c>
      <c r="P81" s="42">
        <v>0.4</v>
      </c>
      <c r="Q81" s="35">
        <v>0.33300000000000002</v>
      </c>
      <c r="R81" s="43">
        <f t="shared" si="97"/>
        <v>0.13320000000000001</v>
      </c>
      <c r="S81" s="42">
        <v>0.4</v>
      </c>
      <c r="T81" s="35">
        <v>0.33300000000000002</v>
      </c>
      <c r="U81" s="43">
        <f t="shared" si="98"/>
        <v>0.13320000000000001</v>
      </c>
      <c r="V81" s="42">
        <v>0.4</v>
      </c>
      <c r="W81" s="35">
        <v>0.33300000000000002</v>
      </c>
      <c r="X81" s="43">
        <f t="shared" si="99"/>
        <v>0.13320000000000001</v>
      </c>
      <c r="Y81" s="42">
        <v>0.4</v>
      </c>
      <c r="Z81" s="35">
        <v>0.33300000000000002</v>
      </c>
      <c r="AA81" s="43">
        <f t="shared" si="100"/>
        <v>0.13320000000000001</v>
      </c>
    </row>
    <row r="82" spans="1:27" x14ac:dyDescent="0.3">
      <c r="B82" s="72"/>
      <c r="C82" s="43" t="str">
        <v>B-E</v>
      </c>
      <c r="D82" s="42">
        <v>0.3</v>
      </c>
      <c r="E82" s="35">
        <v>0.33300000000000002</v>
      </c>
      <c r="F82" s="43">
        <f t="shared" si="93"/>
        <v>9.9900000000000003E-2</v>
      </c>
      <c r="G82" s="42">
        <v>0.3</v>
      </c>
      <c r="H82" s="35">
        <v>0.33300000000000002</v>
      </c>
      <c r="I82" s="43">
        <f t="shared" si="94"/>
        <v>9.9900000000000003E-2</v>
      </c>
      <c r="J82" s="42">
        <v>0.3</v>
      </c>
      <c r="K82" s="35">
        <v>0.33300000000000002</v>
      </c>
      <c r="L82" s="43">
        <f t="shared" si="95"/>
        <v>9.9900000000000003E-2</v>
      </c>
      <c r="M82" s="42">
        <v>0.3</v>
      </c>
      <c r="N82" s="35">
        <v>4</v>
      </c>
      <c r="O82" s="43">
        <f t="shared" si="96"/>
        <v>1.2</v>
      </c>
      <c r="P82" s="42">
        <v>0.3</v>
      </c>
      <c r="Q82" s="35">
        <v>4</v>
      </c>
      <c r="R82" s="43">
        <f t="shared" si="97"/>
        <v>1.2</v>
      </c>
      <c r="S82" s="42">
        <v>0.3</v>
      </c>
      <c r="T82" s="35">
        <v>4</v>
      </c>
      <c r="U82" s="43">
        <f t="shared" si="98"/>
        <v>1.2</v>
      </c>
      <c r="V82" s="42">
        <v>0.3</v>
      </c>
      <c r="W82" s="35">
        <v>4</v>
      </c>
      <c r="X82" s="43">
        <f t="shared" si="99"/>
        <v>1.2</v>
      </c>
      <c r="Y82" s="42">
        <v>0.3</v>
      </c>
      <c r="Z82" s="35">
        <v>4</v>
      </c>
      <c r="AA82" s="43">
        <f t="shared" si="100"/>
        <v>1.2</v>
      </c>
    </row>
    <row r="83" spans="1:27" x14ac:dyDescent="0.3">
      <c r="B83" s="72"/>
      <c r="C83" s="43" t="str">
        <v>E-F</v>
      </c>
      <c r="D83" s="42">
        <v>0.3</v>
      </c>
      <c r="E83" s="35">
        <v>0.33300000000000002</v>
      </c>
      <c r="F83" s="43">
        <f t="shared" si="93"/>
        <v>9.9900000000000003E-2</v>
      </c>
      <c r="G83" s="42">
        <v>0.3</v>
      </c>
      <c r="H83" s="35">
        <v>0.33300000000000002</v>
      </c>
      <c r="I83" s="43">
        <f t="shared" si="94"/>
        <v>9.9900000000000003E-2</v>
      </c>
      <c r="J83" s="42">
        <v>0.3</v>
      </c>
      <c r="K83" s="35">
        <v>0.33300000000000002</v>
      </c>
      <c r="L83" s="43">
        <f t="shared" si="95"/>
        <v>9.9900000000000003E-2</v>
      </c>
      <c r="M83" s="42">
        <v>0.3</v>
      </c>
      <c r="N83" s="35">
        <v>0.33300000000000002</v>
      </c>
      <c r="O83" s="43">
        <f t="shared" si="96"/>
        <v>9.9900000000000003E-2</v>
      </c>
      <c r="P83" s="42">
        <v>0.3</v>
      </c>
      <c r="Q83" s="35">
        <v>3</v>
      </c>
      <c r="R83" s="43">
        <f t="shared" si="97"/>
        <v>0.89999999999999991</v>
      </c>
      <c r="S83" s="42">
        <v>0.3</v>
      </c>
      <c r="T83" s="35">
        <v>3</v>
      </c>
      <c r="U83" s="43">
        <f t="shared" si="98"/>
        <v>0.89999999999999991</v>
      </c>
      <c r="V83" s="42">
        <v>0.3</v>
      </c>
      <c r="W83" s="35">
        <v>3</v>
      </c>
      <c r="X83" s="43">
        <f t="shared" si="99"/>
        <v>0.89999999999999991</v>
      </c>
      <c r="Y83" s="42">
        <v>0.3</v>
      </c>
      <c r="Z83" s="35">
        <v>3</v>
      </c>
      <c r="AA83" s="43">
        <f t="shared" si="100"/>
        <v>0.89999999999999991</v>
      </c>
    </row>
    <row r="84" spans="1:27" x14ac:dyDescent="0.3">
      <c r="B84" s="72"/>
      <c r="C84" s="43" t="str">
        <v>F-G</v>
      </c>
      <c r="D84" s="42">
        <v>0.6</v>
      </c>
      <c r="E84" s="35">
        <v>0.33300000000000002</v>
      </c>
      <c r="F84" s="43">
        <f t="shared" si="93"/>
        <v>0.19980000000000001</v>
      </c>
      <c r="G84" s="42">
        <v>0.6</v>
      </c>
      <c r="H84" s="35">
        <v>0.33300000000000002</v>
      </c>
      <c r="I84" s="43">
        <f t="shared" si="94"/>
        <v>0.19980000000000001</v>
      </c>
      <c r="J84" s="42">
        <v>0.6</v>
      </c>
      <c r="K84" s="35">
        <v>0.33300000000000002</v>
      </c>
      <c r="L84" s="43">
        <f t="shared" si="95"/>
        <v>0.19980000000000001</v>
      </c>
      <c r="M84" s="42">
        <v>0.6</v>
      </c>
      <c r="N84" s="35">
        <v>0.33300000000000002</v>
      </c>
      <c r="O84" s="43">
        <f t="shared" si="96"/>
        <v>0.19980000000000001</v>
      </c>
      <c r="P84" s="42">
        <v>0.6</v>
      </c>
      <c r="Q84" s="35">
        <v>2.5</v>
      </c>
      <c r="R84" s="43">
        <f t="shared" si="97"/>
        <v>1.5</v>
      </c>
      <c r="S84" s="42">
        <v>0.6</v>
      </c>
      <c r="T84" s="35">
        <v>0.33300000000000002</v>
      </c>
      <c r="U84" s="43">
        <f t="shared" si="98"/>
        <v>0.19980000000000001</v>
      </c>
      <c r="V84" s="42">
        <v>0.6</v>
      </c>
      <c r="W84" s="35">
        <v>0.33300000000000002</v>
      </c>
      <c r="X84" s="43">
        <f t="shared" si="99"/>
        <v>0.19980000000000001</v>
      </c>
      <c r="Y84" s="42">
        <v>0.6</v>
      </c>
      <c r="Z84" s="35">
        <v>0.33300000000000002</v>
      </c>
      <c r="AA84" s="43">
        <f t="shared" si="100"/>
        <v>0.19980000000000001</v>
      </c>
    </row>
    <row r="85" spans="1:27" x14ac:dyDescent="0.3">
      <c r="B85" s="72"/>
      <c r="C85" s="43" t="str">
        <v>F-H</v>
      </c>
      <c r="D85" s="42">
        <v>0.5</v>
      </c>
      <c r="E85" s="35">
        <v>0.33300000000000002</v>
      </c>
      <c r="F85" s="43">
        <f t="shared" si="93"/>
        <v>0.16650000000000001</v>
      </c>
      <c r="G85" s="42">
        <v>0.5</v>
      </c>
      <c r="H85" s="35">
        <v>0.33300000000000002</v>
      </c>
      <c r="I85" s="43">
        <f t="shared" si="94"/>
        <v>0.16650000000000001</v>
      </c>
      <c r="J85" s="42">
        <v>0.5</v>
      </c>
      <c r="K85" s="35">
        <v>0.33300000000000002</v>
      </c>
      <c r="L85" s="43">
        <f t="shared" si="95"/>
        <v>0.16650000000000001</v>
      </c>
      <c r="M85" s="42">
        <v>0.5</v>
      </c>
      <c r="N85" s="35">
        <v>0.33300000000000002</v>
      </c>
      <c r="O85" s="43">
        <f t="shared" si="96"/>
        <v>0.16650000000000001</v>
      </c>
      <c r="P85" s="42">
        <v>0.5</v>
      </c>
      <c r="Q85" s="35">
        <v>3</v>
      </c>
      <c r="R85" s="43">
        <f t="shared" si="97"/>
        <v>1.5</v>
      </c>
      <c r="S85" s="42">
        <v>0.5</v>
      </c>
      <c r="T85" s="35">
        <v>3</v>
      </c>
      <c r="U85" s="43">
        <f t="shared" si="98"/>
        <v>1.5</v>
      </c>
      <c r="V85" s="42">
        <v>0.5</v>
      </c>
      <c r="W85" s="35">
        <v>3</v>
      </c>
      <c r="X85" s="43">
        <f t="shared" si="99"/>
        <v>1.5</v>
      </c>
      <c r="Y85" s="42">
        <v>0.5</v>
      </c>
      <c r="Z85" s="35">
        <v>3</v>
      </c>
      <c r="AA85" s="43">
        <f t="shared" si="100"/>
        <v>1.5</v>
      </c>
    </row>
    <row r="86" spans="1:27" x14ac:dyDescent="0.3">
      <c r="B86" s="72"/>
      <c r="C86" s="43" t="str">
        <v>H-I</v>
      </c>
      <c r="D86" s="42">
        <v>0.3</v>
      </c>
      <c r="E86" s="35">
        <v>0.33300000000000002</v>
      </c>
      <c r="F86" s="43">
        <f t="shared" si="93"/>
        <v>9.9900000000000003E-2</v>
      </c>
      <c r="G86" s="42">
        <v>0.3</v>
      </c>
      <c r="H86" s="35">
        <v>0.33300000000000002</v>
      </c>
      <c r="I86" s="43">
        <f t="shared" si="94"/>
        <v>9.9900000000000003E-2</v>
      </c>
      <c r="J86" s="42">
        <v>0.3</v>
      </c>
      <c r="K86" s="35">
        <v>0.33300000000000002</v>
      </c>
      <c r="L86" s="43">
        <f t="shared" si="95"/>
        <v>9.9900000000000003E-2</v>
      </c>
      <c r="M86" s="42">
        <v>0.3</v>
      </c>
      <c r="N86" s="35">
        <v>0.33300000000000002</v>
      </c>
      <c r="O86" s="43">
        <f t="shared" si="96"/>
        <v>9.9900000000000003E-2</v>
      </c>
      <c r="P86" s="42">
        <v>0.3</v>
      </c>
      <c r="Q86" s="35">
        <v>3</v>
      </c>
      <c r="R86" s="43">
        <f t="shared" si="97"/>
        <v>0.89999999999999991</v>
      </c>
      <c r="S86" s="42">
        <v>0.3</v>
      </c>
      <c r="T86" s="35">
        <v>3</v>
      </c>
      <c r="U86" s="43">
        <f t="shared" si="98"/>
        <v>0.89999999999999991</v>
      </c>
      <c r="V86" s="42">
        <v>0.3</v>
      </c>
      <c r="W86" s="35">
        <v>3</v>
      </c>
      <c r="X86" s="43">
        <f t="shared" si="99"/>
        <v>0.89999999999999991</v>
      </c>
      <c r="Y86" s="42">
        <v>0.3</v>
      </c>
      <c r="Z86" s="35">
        <v>3</v>
      </c>
      <c r="AA86" s="43">
        <f t="shared" si="100"/>
        <v>0.89999999999999991</v>
      </c>
    </row>
    <row r="87" spans="1:27" x14ac:dyDescent="0.3">
      <c r="B87" s="72"/>
      <c r="C87" s="43" t="str">
        <v>I-J</v>
      </c>
      <c r="D87" s="42">
        <v>0.2</v>
      </c>
      <c r="E87" s="35">
        <v>0.33300000000000002</v>
      </c>
      <c r="F87" s="43">
        <f t="shared" si="93"/>
        <v>6.6600000000000006E-2</v>
      </c>
      <c r="G87" s="42">
        <v>0.2</v>
      </c>
      <c r="H87" s="35">
        <v>0.33300000000000002</v>
      </c>
      <c r="I87" s="43">
        <f t="shared" si="94"/>
        <v>6.6600000000000006E-2</v>
      </c>
      <c r="J87" s="42">
        <v>0.2</v>
      </c>
      <c r="K87" s="35">
        <v>0.33300000000000002</v>
      </c>
      <c r="L87" s="43">
        <f t="shared" si="95"/>
        <v>6.6600000000000006E-2</v>
      </c>
      <c r="M87" s="42">
        <v>0.2</v>
      </c>
      <c r="N87" s="35">
        <v>0.33300000000000002</v>
      </c>
      <c r="O87" s="43">
        <f t="shared" si="96"/>
        <v>6.6600000000000006E-2</v>
      </c>
      <c r="P87" s="42">
        <v>0.2</v>
      </c>
      <c r="Q87" s="35">
        <v>1</v>
      </c>
      <c r="R87" s="43">
        <f t="shared" si="97"/>
        <v>0.2</v>
      </c>
      <c r="S87" s="42">
        <v>0.2</v>
      </c>
      <c r="T87" s="35">
        <v>1</v>
      </c>
      <c r="U87" s="43">
        <f t="shared" si="98"/>
        <v>0.2</v>
      </c>
      <c r="V87" s="42">
        <v>0.2</v>
      </c>
      <c r="W87" s="35">
        <v>1</v>
      </c>
      <c r="X87" s="43">
        <f t="shared" si="99"/>
        <v>0.2</v>
      </c>
      <c r="Y87" s="42">
        <v>0.2</v>
      </c>
      <c r="Z87" s="35">
        <v>1</v>
      </c>
      <c r="AA87" s="43">
        <f t="shared" si="100"/>
        <v>0.2</v>
      </c>
    </row>
    <row r="88" spans="1:27" x14ac:dyDescent="0.3">
      <c r="B88" s="73"/>
      <c r="C88" s="44" t="str">
        <v>I-K</v>
      </c>
      <c r="D88" s="45">
        <v>0.3</v>
      </c>
      <c r="E88" s="46">
        <v>0.33300000000000002</v>
      </c>
      <c r="F88" s="44">
        <f>D88*E88</f>
        <v>9.9900000000000003E-2</v>
      </c>
      <c r="G88" s="45">
        <v>0.3</v>
      </c>
      <c r="H88" s="46">
        <v>0.33300000000000002</v>
      </c>
      <c r="I88" s="44">
        <f>G88*H88</f>
        <v>9.9900000000000003E-2</v>
      </c>
      <c r="J88" s="45">
        <v>0.3</v>
      </c>
      <c r="K88" s="46">
        <v>0.33300000000000002</v>
      </c>
      <c r="L88" s="44">
        <f>J88*K88</f>
        <v>9.9900000000000003E-2</v>
      </c>
      <c r="M88" s="45">
        <v>0.3</v>
      </c>
      <c r="N88" s="46">
        <v>0.33300000000000002</v>
      </c>
      <c r="O88" s="44">
        <f>M88*N88</f>
        <v>9.9900000000000003E-2</v>
      </c>
      <c r="P88" s="45">
        <v>0.3</v>
      </c>
      <c r="Q88" s="46">
        <v>2.5</v>
      </c>
      <c r="R88" s="44">
        <f>P88*Q88</f>
        <v>0.75</v>
      </c>
      <c r="S88" s="45">
        <v>0.3</v>
      </c>
      <c r="T88" s="46">
        <v>2.5</v>
      </c>
      <c r="U88" s="44">
        <f>S88*T88</f>
        <v>0.75</v>
      </c>
      <c r="V88" s="45">
        <v>0.3</v>
      </c>
      <c r="W88" s="46">
        <v>2.5</v>
      </c>
      <c r="X88" s="44">
        <f>V88*W88</f>
        <v>0.75</v>
      </c>
      <c r="Y88" s="45">
        <v>0.3</v>
      </c>
      <c r="Z88" s="46">
        <v>2.5</v>
      </c>
      <c r="AA88" s="44">
        <f>Y88*Z88</f>
        <v>0.75</v>
      </c>
    </row>
    <row r="89" spans="1:27" x14ac:dyDescent="0.3">
      <c r="C89" s="35" t="s">
        <v>63</v>
      </c>
      <c r="D89" s="35">
        <f>SUM(_xlfn.ANCHORARRAY(D79))</f>
        <v>3.9</v>
      </c>
      <c r="E89" s="35">
        <f>F89/D89</f>
        <v>0.66638461538461546</v>
      </c>
      <c r="F89" s="35">
        <f>SUM(F79:F88)</f>
        <v>2.5989000000000004</v>
      </c>
      <c r="G89" s="35">
        <f t="shared" ref="G89" si="101">SUM(_xlfn.ANCHORARRAY(G79))</f>
        <v>3.9</v>
      </c>
      <c r="H89" s="35">
        <f t="shared" ref="H89" si="102">I89/G89</f>
        <v>0.83735897435897433</v>
      </c>
      <c r="I89" s="35">
        <f>SUM(I79:I88)</f>
        <v>3.2656999999999998</v>
      </c>
      <c r="J89" s="35">
        <f t="shared" ref="J89" si="103">SUM(_xlfn.ANCHORARRAY(J79))</f>
        <v>3.9</v>
      </c>
      <c r="K89" s="35">
        <f t="shared" ref="K89" si="104">L89/J89</f>
        <v>1.0083333333333333</v>
      </c>
      <c r="L89" s="35">
        <f>SUM(L79:L88)</f>
        <v>3.9324999999999997</v>
      </c>
      <c r="M89" s="35">
        <f t="shared" ref="M89" si="105">SUM(_xlfn.ANCHORARRAY(M79))</f>
        <v>3.9</v>
      </c>
      <c r="N89" s="35">
        <f t="shared" ref="N89" si="106">O89/M89</f>
        <v>0.94846153846153858</v>
      </c>
      <c r="O89" s="35">
        <f>SUM(O79:O88)</f>
        <v>3.6990000000000003</v>
      </c>
      <c r="P89" s="35">
        <f t="shared" ref="P89" si="107">SUM(_xlfn.ANCHORARRAY(P79))</f>
        <v>3.9</v>
      </c>
      <c r="Q89" s="35">
        <f t="shared" ref="Q89" si="108">R89/P89</f>
        <v>2.2349743589743589</v>
      </c>
      <c r="R89" s="35">
        <f>SUM(R79:R88)</f>
        <v>8.7164000000000001</v>
      </c>
      <c r="S89" s="35">
        <f t="shared" ref="S89" si="109">SUM(_xlfn.ANCHORARRAY(S79))</f>
        <v>3.9</v>
      </c>
      <c r="T89" s="35">
        <f t="shared" ref="T89" si="110">U89/S89</f>
        <v>1.9015897435897438</v>
      </c>
      <c r="U89" s="35">
        <f>SUM(U79:U88)</f>
        <v>7.4162000000000008</v>
      </c>
      <c r="V89" s="35">
        <f t="shared" ref="V89" si="111">SUM(_xlfn.ANCHORARRAY(V79))</f>
        <v>3.9</v>
      </c>
      <c r="W89" s="35">
        <f t="shared" ref="W89" si="112">X89/V89</f>
        <v>1.9015897435897438</v>
      </c>
      <c r="X89" s="35">
        <f>SUM(X79:X88)</f>
        <v>7.4162000000000008</v>
      </c>
      <c r="Y89" s="35">
        <f t="shared" ref="Y89" si="113">SUM(_xlfn.ANCHORARRAY(Y79))</f>
        <v>3.9</v>
      </c>
      <c r="Z89" s="35">
        <f t="shared" ref="Z89" si="114">AA89/Y89</f>
        <v>1.9015897435897438</v>
      </c>
      <c r="AA89" s="35">
        <f>SUM(AA79:AA88)</f>
        <v>7.4162000000000008</v>
      </c>
    </row>
    <row r="92" spans="1:27" x14ac:dyDescent="0.3">
      <c r="A92" s="49" t="s">
        <v>69</v>
      </c>
      <c r="B92" s="36"/>
      <c r="C92" s="37"/>
      <c r="D92" s="67" t="s">
        <v>54</v>
      </c>
      <c r="E92" s="68"/>
      <c r="F92" s="69"/>
      <c r="G92" s="67" t="s">
        <v>55</v>
      </c>
      <c r="H92" s="68"/>
      <c r="I92" s="69"/>
      <c r="J92" s="67" t="s">
        <v>56</v>
      </c>
      <c r="K92" s="68"/>
      <c r="L92" s="69"/>
      <c r="M92" s="67" t="s">
        <v>57</v>
      </c>
      <c r="N92" s="68"/>
      <c r="O92" s="69"/>
      <c r="P92" s="67" t="s">
        <v>58</v>
      </c>
      <c r="Q92" s="68"/>
      <c r="R92" s="69"/>
      <c r="S92" s="67" t="s">
        <v>59</v>
      </c>
      <c r="T92" s="68"/>
      <c r="U92" s="69"/>
      <c r="V92" s="67" t="s">
        <v>60</v>
      </c>
      <c r="W92" s="68"/>
      <c r="X92" s="69"/>
      <c r="Y92" s="67" t="s">
        <v>61</v>
      </c>
      <c r="Z92" s="68"/>
      <c r="AA92" s="69"/>
    </row>
    <row r="93" spans="1:27" x14ac:dyDescent="0.3">
      <c r="B93" s="70" t="s">
        <v>50</v>
      </c>
      <c r="C93" s="71"/>
      <c r="D93" s="42" t="s">
        <v>53</v>
      </c>
      <c r="E93" s="35" t="s">
        <v>52</v>
      </c>
      <c r="F93" s="43" t="s">
        <v>51</v>
      </c>
      <c r="G93" s="42" t="s">
        <v>53</v>
      </c>
      <c r="H93" s="35" t="s">
        <v>52</v>
      </c>
      <c r="I93" s="43" t="s">
        <v>51</v>
      </c>
      <c r="J93" s="42" t="s">
        <v>53</v>
      </c>
      <c r="K93" s="35" t="s">
        <v>52</v>
      </c>
      <c r="L93" s="43" t="s">
        <v>51</v>
      </c>
      <c r="M93" s="42" t="s">
        <v>53</v>
      </c>
      <c r="N93" s="35" t="s">
        <v>52</v>
      </c>
      <c r="O93" s="43" t="s">
        <v>51</v>
      </c>
      <c r="P93" s="42" t="s">
        <v>53</v>
      </c>
      <c r="Q93" s="35" t="s">
        <v>52</v>
      </c>
      <c r="R93" s="43" t="s">
        <v>51</v>
      </c>
      <c r="S93" s="42" t="s">
        <v>53</v>
      </c>
      <c r="T93" s="35" t="s">
        <v>52</v>
      </c>
      <c r="U93" s="43" t="s">
        <v>51</v>
      </c>
      <c r="V93" s="42" t="s">
        <v>53</v>
      </c>
      <c r="W93" s="35" t="s">
        <v>52</v>
      </c>
      <c r="X93" s="43" t="s">
        <v>51</v>
      </c>
      <c r="Y93" s="42" t="s">
        <v>53</v>
      </c>
      <c r="Z93" s="35" t="s">
        <v>52</v>
      </c>
      <c r="AA93" s="43" t="s">
        <v>51</v>
      </c>
    </row>
    <row r="94" spans="1:27" ht="14.4" customHeight="1" x14ac:dyDescent="0.3">
      <c r="B94" s="72" t="s">
        <v>62</v>
      </c>
      <c r="C94" s="43" t="str" cm="1">
        <f t="array" ref="C94:C103">'DATA AND SCENARIO'!$E$2:$E$11</f>
        <v>A-B</v>
      </c>
      <c r="D94" s="42" cm="1">
        <f t="array" ref="D94:D103">'DATA AND SCENARIO'!$F$2:$F$11</f>
        <v>0.6</v>
      </c>
      <c r="E94" s="35">
        <v>2.5</v>
      </c>
      <c r="F94" s="43">
        <f>D94*E94</f>
        <v>1.5</v>
      </c>
      <c r="G94" s="42" cm="1">
        <f t="array" ref="G94:G103">'DATA AND SCENARIO'!$F$2:$F$11</f>
        <v>0.6</v>
      </c>
      <c r="H94" s="35">
        <v>2.5</v>
      </c>
      <c r="I94" s="43">
        <f>G94*H94</f>
        <v>1.5</v>
      </c>
      <c r="J94" s="42" cm="1">
        <f t="array" ref="J94:J103">'DATA AND SCENARIO'!$F$2:$F$11</f>
        <v>0.6</v>
      </c>
      <c r="K94" s="35">
        <v>2.5</v>
      </c>
      <c r="L94" s="43">
        <f>J94*K94</f>
        <v>1.5</v>
      </c>
      <c r="M94" s="42" cm="1">
        <f t="array" ref="M94:M103">'DATA AND SCENARIO'!$F$2:$F$11</f>
        <v>0.6</v>
      </c>
      <c r="N94" s="35">
        <v>2.5</v>
      </c>
      <c r="O94" s="43">
        <f>M94*N94</f>
        <v>1.5</v>
      </c>
      <c r="P94" s="42" cm="1">
        <f t="array" ref="P94:P103">'DATA AND SCENARIO'!$F$2:$F$11</f>
        <v>0.6</v>
      </c>
      <c r="Q94" s="35">
        <v>2.5</v>
      </c>
      <c r="R94" s="43">
        <f>P94*Q94</f>
        <v>1.5</v>
      </c>
      <c r="S94" s="42" cm="1">
        <f t="array" ref="S94:S103">'DATA AND SCENARIO'!$F$2:$F$11</f>
        <v>0.6</v>
      </c>
      <c r="T94" s="35">
        <v>2.5</v>
      </c>
      <c r="U94" s="43">
        <f>S94*T94</f>
        <v>1.5</v>
      </c>
      <c r="V94" s="42" cm="1">
        <f t="array" ref="V94:V103">'DATA AND SCENARIO'!$F$2:$F$11</f>
        <v>0.6</v>
      </c>
      <c r="W94" s="35">
        <v>2.5</v>
      </c>
      <c r="X94" s="43">
        <f>V94*W94</f>
        <v>1.5</v>
      </c>
      <c r="Y94" s="42" cm="1">
        <f t="array" ref="Y94:Y103">'DATA AND SCENARIO'!$F$2:$F$11</f>
        <v>0.6</v>
      </c>
      <c r="Z94" s="35">
        <v>2.5</v>
      </c>
      <c r="AA94" s="43">
        <f>Y94*Z94</f>
        <v>1.5</v>
      </c>
    </row>
    <row r="95" spans="1:27" x14ac:dyDescent="0.3">
      <c r="B95" s="72"/>
      <c r="C95" s="43" t="str">
        <v>B-C</v>
      </c>
      <c r="D95" s="42">
        <v>0.4</v>
      </c>
      <c r="E95" s="35">
        <v>0.33300000000000002</v>
      </c>
      <c r="F95" s="43">
        <f t="shared" ref="F95:F102" si="115">D95*E95</f>
        <v>0.13320000000000001</v>
      </c>
      <c r="G95" s="42">
        <v>0.4</v>
      </c>
      <c r="H95" s="35">
        <v>2</v>
      </c>
      <c r="I95" s="43">
        <f t="shared" ref="I95:I102" si="116">G95*H95</f>
        <v>0.8</v>
      </c>
      <c r="J95" s="42">
        <v>0.4</v>
      </c>
      <c r="K95" s="35">
        <v>2</v>
      </c>
      <c r="L95" s="43">
        <f t="shared" ref="L95:L102" si="117">J95*K95</f>
        <v>0.8</v>
      </c>
      <c r="M95" s="42">
        <v>0.4</v>
      </c>
      <c r="N95" s="35">
        <v>0.33300000000000002</v>
      </c>
      <c r="O95" s="43">
        <f t="shared" ref="O95:O102" si="118">M95*N95</f>
        <v>0.13320000000000001</v>
      </c>
      <c r="P95" s="42">
        <v>0.4</v>
      </c>
      <c r="Q95" s="35">
        <v>0.33300000000000002</v>
      </c>
      <c r="R95" s="43">
        <f t="shared" ref="R95:R102" si="119">P95*Q95</f>
        <v>0.13320000000000001</v>
      </c>
      <c r="S95" s="42">
        <v>0.4</v>
      </c>
      <c r="T95" s="35">
        <v>0.33300000000000002</v>
      </c>
      <c r="U95" s="43">
        <f t="shared" ref="U95:U102" si="120">S95*T95</f>
        <v>0.13320000000000001</v>
      </c>
      <c r="V95" s="42">
        <v>0.4</v>
      </c>
      <c r="W95" s="35">
        <v>0.33300000000000002</v>
      </c>
      <c r="X95" s="43">
        <f t="shared" ref="X95:X102" si="121">V95*W95</f>
        <v>0.13320000000000001</v>
      </c>
      <c r="Y95" s="42">
        <v>0.4</v>
      </c>
      <c r="Z95" s="35">
        <v>0.33300000000000002</v>
      </c>
      <c r="AA95" s="43">
        <f t="shared" ref="AA95:AA102" si="122">Y95*Z95</f>
        <v>0.13320000000000001</v>
      </c>
    </row>
    <row r="96" spans="1:27" x14ac:dyDescent="0.3">
      <c r="B96" s="72"/>
      <c r="C96" s="43" t="str">
        <v>C-D</v>
      </c>
      <c r="D96" s="42">
        <v>0.4</v>
      </c>
      <c r="E96" s="35">
        <v>0.33300000000000002</v>
      </c>
      <c r="F96" s="43">
        <f t="shared" si="115"/>
        <v>0.13320000000000001</v>
      </c>
      <c r="G96" s="42">
        <v>0.4</v>
      </c>
      <c r="H96" s="35">
        <v>0.33300000000000002</v>
      </c>
      <c r="I96" s="43">
        <f t="shared" si="116"/>
        <v>0.13320000000000001</v>
      </c>
      <c r="J96" s="42">
        <v>0.4</v>
      </c>
      <c r="K96" s="35">
        <v>2</v>
      </c>
      <c r="L96" s="43">
        <f t="shared" si="117"/>
        <v>0.8</v>
      </c>
      <c r="M96" s="42">
        <v>0.4</v>
      </c>
      <c r="N96" s="35">
        <v>0.33300000000000002</v>
      </c>
      <c r="O96" s="43">
        <f>M96*N96</f>
        <v>0.13320000000000001</v>
      </c>
      <c r="P96" s="42">
        <v>0.4</v>
      </c>
      <c r="Q96" s="35">
        <v>0.33300000000000002</v>
      </c>
      <c r="R96" s="43">
        <f t="shared" si="119"/>
        <v>0.13320000000000001</v>
      </c>
      <c r="S96" s="42">
        <v>0.4</v>
      </c>
      <c r="T96" s="35">
        <v>0.33300000000000002</v>
      </c>
      <c r="U96" s="43">
        <f t="shared" si="120"/>
        <v>0.13320000000000001</v>
      </c>
      <c r="V96" s="42">
        <v>0.4</v>
      </c>
      <c r="W96" s="35">
        <v>0.33300000000000002</v>
      </c>
      <c r="X96" s="43">
        <f t="shared" si="121"/>
        <v>0.13320000000000001</v>
      </c>
      <c r="Y96" s="42">
        <v>0.4</v>
      </c>
      <c r="Z96" s="35">
        <v>0.33300000000000002</v>
      </c>
      <c r="AA96" s="43">
        <f t="shared" si="122"/>
        <v>0.13320000000000001</v>
      </c>
    </row>
    <row r="97" spans="1:27" x14ac:dyDescent="0.3">
      <c r="B97" s="72"/>
      <c r="C97" s="43" t="str">
        <v>B-E</v>
      </c>
      <c r="D97" s="42">
        <v>0.3</v>
      </c>
      <c r="E97" s="35">
        <v>0.33300000000000002</v>
      </c>
      <c r="F97" s="43">
        <f t="shared" si="115"/>
        <v>9.9900000000000003E-2</v>
      </c>
      <c r="G97" s="42">
        <v>0.3</v>
      </c>
      <c r="H97" s="35">
        <v>0.33300000000000002</v>
      </c>
      <c r="I97" s="43">
        <f t="shared" si="116"/>
        <v>9.9900000000000003E-2</v>
      </c>
      <c r="J97" s="42">
        <v>0.3</v>
      </c>
      <c r="K97" s="35">
        <v>0.33300000000000002</v>
      </c>
      <c r="L97" s="43">
        <f t="shared" si="117"/>
        <v>9.9900000000000003E-2</v>
      </c>
      <c r="M97" s="42">
        <v>0.3</v>
      </c>
      <c r="N97" s="35">
        <v>4</v>
      </c>
      <c r="O97" s="43">
        <f t="shared" si="118"/>
        <v>1.2</v>
      </c>
      <c r="P97" s="42">
        <v>0.3</v>
      </c>
      <c r="Q97" s="35">
        <v>4</v>
      </c>
      <c r="R97" s="43">
        <f t="shared" si="119"/>
        <v>1.2</v>
      </c>
      <c r="S97" s="42">
        <v>0.3</v>
      </c>
      <c r="T97" s="35">
        <v>4</v>
      </c>
      <c r="U97" s="43">
        <f t="shared" si="120"/>
        <v>1.2</v>
      </c>
      <c r="V97" s="42">
        <v>0.3</v>
      </c>
      <c r="W97" s="35">
        <v>4</v>
      </c>
      <c r="X97" s="43">
        <f t="shared" si="121"/>
        <v>1.2</v>
      </c>
      <c r="Y97" s="42">
        <v>0.3</v>
      </c>
      <c r="Z97" s="35">
        <v>4</v>
      </c>
      <c r="AA97" s="43">
        <f t="shared" si="122"/>
        <v>1.2</v>
      </c>
    </row>
    <row r="98" spans="1:27" x14ac:dyDescent="0.3">
      <c r="B98" s="72"/>
      <c r="C98" s="43" t="str">
        <v>E-F</v>
      </c>
      <c r="D98" s="42">
        <v>0.3</v>
      </c>
      <c r="E98" s="35">
        <v>0.33300000000000002</v>
      </c>
      <c r="F98" s="43">
        <f t="shared" si="115"/>
        <v>9.9900000000000003E-2</v>
      </c>
      <c r="G98" s="42">
        <v>0.3</v>
      </c>
      <c r="H98" s="35">
        <v>0.33300000000000002</v>
      </c>
      <c r="I98" s="43">
        <f t="shared" si="116"/>
        <v>9.9900000000000003E-2</v>
      </c>
      <c r="J98" s="42">
        <v>0.3</v>
      </c>
      <c r="K98" s="35">
        <v>0.33300000000000002</v>
      </c>
      <c r="L98" s="43">
        <f t="shared" si="117"/>
        <v>9.9900000000000003E-2</v>
      </c>
      <c r="M98" s="42">
        <v>0.3</v>
      </c>
      <c r="N98" s="35">
        <v>0.33300000000000002</v>
      </c>
      <c r="O98" s="43">
        <f t="shared" si="118"/>
        <v>9.9900000000000003E-2</v>
      </c>
      <c r="P98" s="42">
        <v>0.3</v>
      </c>
      <c r="Q98" s="35">
        <v>3</v>
      </c>
      <c r="R98" s="43">
        <f t="shared" si="119"/>
        <v>0.89999999999999991</v>
      </c>
      <c r="S98" s="42">
        <v>0.3</v>
      </c>
      <c r="T98" s="35">
        <v>3</v>
      </c>
      <c r="U98" s="43">
        <f t="shared" si="120"/>
        <v>0.89999999999999991</v>
      </c>
      <c r="V98" s="42">
        <v>0.3</v>
      </c>
      <c r="W98" s="35">
        <v>3</v>
      </c>
      <c r="X98" s="43">
        <f t="shared" si="121"/>
        <v>0.89999999999999991</v>
      </c>
      <c r="Y98" s="42">
        <v>0.3</v>
      </c>
      <c r="Z98" s="35">
        <v>3</v>
      </c>
      <c r="AA98" s="43">
        <f t="shared" si="122"/>
        <v>0.89999999999999991</v>
      </c>
    </row>
    <row r="99" spans="1:27" x14ac:dyDescent="0.3">
      <c r="B99" s="72"/>
      <c r="C99" s="43" t="str">
        <v>F-G</v>
      </c>
      <c r="D99" s="42">
        <v>0.6</v>
      </c>
      <c r="E99" s="35">
        <v>0.33300000000000002</v>
      </c>
      <c r="F99" s="43">
        <f t="shared" si="115"/>
        <v>0.19980000000000001</v>
      </c>
      <c r="G99" s="42">
        <v>0.6</v>
      </c>
      <c r="H99" s="35">
        <v>0.33300000000000002</v>
      </c>
      <c r="I99" s="43">
        <f t="shared" si="116"/>
        <v>0.19980000000000001</v>
      </c>
      <c r="J99" s="42">
        <v>0.6</v>
      </c>
      <c r="K99" s="35">
        <v>0.33300000000000002</v>
      </c>
      <c r="L99" s="43">
        <f t="shared" si="117"/>
        <v>0.19980000000000001</v>
      </c>
      <c r="M99" s="42">
        <v>0.6</v>
      </c>
      <c r="N99" s="35">
        <v>0.33300000000000002</v>
      </c>
      <c r="O99" s="43">
        <f t="shared" si="118"/>
        <v>0.19980000000000001</v>
      </c>
      <c r="P99" s="42">
        <v>0.6</v>
      </c>
      <c r="Q99" s="35">
        <v>2.5</v>
      </c>
      <c r="R99" s="43">
        <f t="shared" si="119"/>
        <v>1.5</v>
      </c>
      <c r="S99" s="42">
        <v>0.6</v>
      </c>
      <c r="T99" s="35">
        <v>0.33300000000000002</v>
      </c>
      <c r="U99" s="43">
        <f t="shared" si="120"/>
        <v>0.19980000000000001</v>
      </c>
      <c r="V99" s="42">
        <v>0.6</v>
      </c>
      <c r="W99" s="35">
        <v>0.33300000000000002</v>
      </c>
      <c r="X99" s="43">
        <f t="shared" si="121"/>
        <v>0.19980000000000001</v>
      </c>
      <c r="Y99" s="42">
        <v>0.6</v>
      </c>
      <c r="Z99" s="35">
        <v>0.33300000000000002</v>
      </c>
      <c r="AA99" s="43">
        <f t="shared" si="122"/>
        <v>0.19980000000000001</v>
      </c>
    </row>
    <row r="100" spans="1:27" x14ac:dyDescent="0.3">
      <c r="B100" s="72"/>
      <c r="C100" s="43" t="str">
        <v>F-H</v>
      </c>
      <c r="D100" s="42">
        <v>0.5</v>
      </c>
      <c r="E100" s="35">
        <v>0.33300000000000002</v>
      </c>
      <c r="F100" s="43">
        <f t="shared" si="115"/>
        <v>0.16650000000000001</v>
      </c>
      <c r="G100" s="42">
        <v>0.5</v>
      </c>
      <c r="H100" s="35">
        <v>0.33300000000000002</v>
      </c>
      <c r="I100" s="43">
        <f t="shared" si="116"/>
        <v>0.16650000000000001</v>
      </c>
      <c r="J100" s="42">
        <v>0.5</v>
      </c>
      <c r="K100" s="35">
        <v>0.33300000000000002</v>
      </c>
      <c r="L100" s="43">
        <f t="shared" si="117"/>
        <v>0.16650000000000001</v>
      </c>
      <c r="M100" s="42">
        <v>0.5</v>
      </c>
      <c r="N100" s="35">
        <v>0.33300000000000002</v>
      </c>
      <c r="O100" s="43">
        <f t="shared" si="118"/>
        <v>0.16650000000000001</v>
      </c>
      <c r="P100" s="42">
        <v>0.5</v>
      </c>
      <c r="Q100" s="35">
        <v>0.33300000000000002</v>
      </c>
      <c r="R100" s="43">
        <f t="shared" si="119"/>
        <v>0.16650000000000001</v>
      </c>
      <c r="S100" s="42">
        <v>0.5</v>
      </c>
      <c r="T100" s="35">
        <v>3</v>
      </c>
      <c r="U100" s="43">
        <f t="shared" si="120"/>
        <v>1.5</v>
      </c>
      <c r="V100" s="42">
        <v>0.5</v>
      </c>
      <c r="W100" s="35">
        <v>3</v>
      </c>
      <c r="X100" s="43">
        <f t="shared" si="121"/>
        <v>1.5</v>
      </c>
      <c r="Y100" s="42">
        <v>0.5</v>
      </c>
      <c r="Z100" s="35">
        <v>3</v>
      </c>
      <c r="AA100" s="43">
        <f t="shared" si="122"/>
        <v>1.5</v>
      </c>
    </row>
    <row r="101" spans="1:27" x14ac:dyDescent="0.3">
      <c r="B101" s="72"/>
      <c r="C101" s="43" t="str">
        <v>H-I</v>
      </c>
      <c r="D101" s="42">
        <v>0.3</v>
      </c>
      <c r="E101" s="35">
        <v>0.33300000000000002</v>
      </c>
      <c r="F101" s="43">
        <f t="shared" si="115"/>
        <v>9.9900000000000003E-2</v>
      </c>
      <c r="G101" s="42">
        <v>0.3</v>
      </c>
      <c r="H101" s="35">
        <v>0.33300000000000002</v>
      </c>
      <c r="I101" s="43">
        <f t="shared" si="116"/>
        <v>9.9900000000000003E-2</v>
      </c>
      <c r="J101" s="42">
        <v>0.3</v>
      </c>
      <c r="K101" s="35">
        <v>0.33300000000000002</v>
      </c>
      <c r="L101" s="43">
        <f t="shared" si="117"/>
        <v>9.9900000000000003E-2</v>
      </c>
      <c r="M101" s="42">
        <v>0.3</v>
      </c>
      <c r="N101" s="35">
        <v>0.33300000000000002</v>
      </c>
      <c r="O101" s="43">
        <f t="shared" si="118"/>
        <v>9.9900000000000003E-2</v>
      </c>
      <c r="P101" s="42">
        <v>0.3</v>
      </c>
      <c r="Q101" s="35">
        <v>0.33300000000000002</v>
      </c>
      <c r="R101" s="43">
        <f t="shared" si="119"/>
        <v>9.9900000000000003E-2</v>
      </c>
      <c r="S101" s="42">
        <v>0.3</v>
      </c>
      <c r="T101" s="35">
        <v>3</v>
      </c>
      <c r="U101" s="43">
        <f t="shared" si="120"/>
        <v>0.89999999999999991</v>
      </c>
      <c r="V101" s="42">
        <v>0.3</v>
      </c>
      <c r="W101" s="35">
        <v>3</v>
      </c>
      <c r="X101" s="43">
        <f t="shared" si="121"/>
        <v>0.89999999999999991</v>
      </c>
      <c r="Y101" s="42">
        <v>0.3</v>
      </c>
      <c r="Z101" s="35">
        <v>3</v>
      </c>
      <c r="AA101" s="43">
        <f t="shared" si="122"/>
        <v>0.89999999999999991</v>
      </c>
    </row>
    <row r="102" spans="1:27" x14ac:dyDescent="0.3">
      <c r="B102" s="72"/>
      <c r="C102" s="43" t="str">
        <v>I-J</v>
      </c>
      <c r="D102" s="42">
        <v>0.2</v>
      </c>
      <c r="E102" s="35">
        <v>0.33300000000000002</v>
      </c>
      <c r="F102" s="43">
        <f t="shared" si="115"/>
        <v>6.6600000000000006E-2</v>
      </c>
      <c r="G102" s="42">
        <v>0.2</v>
      </c>
      <c r="H102" s="35">
        <v>0.33300000000000002</v>
      </c>
      <c r="I102" s="43">
        <f t="shared" si="116"/>
        <v>6.6600000000000006E-2</v>
      </c>
      <c r="J102" s="42">
        <v>0.2</v>
      </c>
      <c r="K102" s="35">
        <v>0.33300000000000002</v>
      </c>
      <c r="L102" s="43">
        <f t="shared" si="117"/>
        <v>6.6600000000000006E-2</v>
      </c>
      <c r="M102" s="42">
        <v>0.2</v>
      </c>
      <c r="N102" s="35">
        <v>0.33300000000000002</v>
      </c>
      <c r="O102" s="43">
        <f t="shared" si="118"/>
        <v>6.6600000000000006E-2</v>
      </c>
      <c r="P102" s="42">
        <v>0.2</v>
      </c>
      <c r="Q102" s="35">
        <v>0.33300000000000002</v>
      </c>
      <c r="R102" s="43">
        <f t="shared" si="119"/>
        <v>6.6600000000000006E-2</v>
      </c>
      <c r="S102" s="42">
        <v>0.2</v>
      </c>
      <c r="T102" s="35">
        <v>1</v>
      </c>
      <c r="U102" s="43">
        <f t="shared" si="120"/>
        <v>0.2</v>
      </c>
      <c r="V102" s="42">
        <v>0.2</v>
      </c>
      <c r="W102" s="35">
        <v>1</v>
      </c>
      <c r="X102" s="43">
        <f t="shared" si="121"/>
        <v>0.2</v>
      </c>
      <c r="Y102" s="42">
        <v>0.2</v>
      </c>
      <c r="Z102" s="35">
        <v>1</v>
      </c>
      <c r="AA102" s="43">
        <f t="shared" si="122"/>
        <v>0.2</v>
      </c>
    </row>
    <row r="103" spans="1:27" x14ac:dyDescent="0.3">
      <c r="B103" s="73"/>
      <c r="C103" s="44" t="str">
        <v>I-K</v>
      </c>
      <c r="D103" s="45">
        <v>0.3</v>
      </c>
      <c r="E103" s="46">
        <v>0.33300000000000002</v>
      </c>
      <c r="F103" s="44">
        <f>D103*E103</f>
        <v>9.9900000000000003E-2</v>
      </c>
      <c r="G103" s="45">
        <v>0.3</v>
      </c>
      <c r="H103" s="46">
        <v>0.33300000000000002</v>
      </c>
      <c r="I103" s="44">
        <f>G103*H103</f>
        <v>9.9900000000000003E-2</v>
      </c>
      <c r="J103" s="45">
        <v>0.3</v>
      </c>
      <c r="K103" s="46">
        <v>0.33300000000000002</v>
      </c>
      <c r="L103" s="44">
        <f>J103*K103</f>
        <v>9.9900000000000003E-2</v>
      </c>
      <c r="M103" s="45">
        <v>0.3</v>
      </c>
      <c r="N103" s="46">
        <v>0.33300000000000002</v>
      </c>
      <c r="O103" s="44">
        <f>M103*N103</f>
        <v>9.9900000000000003E-2</v>
      </c>
      <c r="P103" s="45">
        <v>0.3</v>
      </c>
      <c r="Q103" s="46">
        <v>0.33300000000000002</v>
      </c>
      <c r="R103" s="44">
        <f>P103*Q103</f>
        <v>9.9900000000000003E-2</v>
      </c>
      <c r="S103" s="45">
        <v>0.3</v>
      </c>
      <c r="T103" s="46">
        <v>2.5</v>
      </c>
      <c r="U103" s="44">
        <f>S103*T103</f>
        <v>0.75</v>
      </c>
      <c r="V103" s="45">
        <v>0.3</v>
      </c>
      <c r="W103" s="46">
        <v>2.5</v>
      </c>
      <c r="X103" s="44">
        <f>V103*W103</f>
        <v>0.75</v>
      </c>
      <c r="Y103" s="45">
        <v>0.3</v>
      </c>
      <c r="Z103" s="46">
        <v>2.5</v>
      </c>
      <c r="AA103" s="44">
        <f>Y103*Z103</f>
        <v>0.75</v>
      </c>
    </row>
    <row r="104" spans="1:27" x14ac:dyDescent="0.3">
      <c r="C104" s="35" t="s">
        <v>63</v>
      </c>
      <c r="D104" s="35">
        <f>SUM(_xlfn.ANCHORARRAY(D94))</f>
        <v>3.9</v>
      </c>
      <c r="E104" s="35">
        <f>F104/D104</f>
        <v>0.66638461538461546</v>
      </c>
      <c r="F104" s="35">
        <f>SUM(F94:F103)</f>
        <v>2.5989000000000004</v>
      </c>
      <c r="G104" s="35">
        <f t="shared" ref="G104" si="123">SUM(_xlfn.ANCHORARRAY(G94))</f>
        <v>3.9</v>
      </c>
      <c r="H104" s="35">
        <f t="shared" ref="H104" si="124">I104/G104</f>
        <v>0.83735897435897433</v>
      </c>
      <c r="I104" s="35">
        <f>SUM(I94:I103)</f>
        <v>3.2656999999999998</v>
      </c>
      <c r="J104" s="35">
        <f t="shared" ref="J104" si="125">SUM(_xlfn.ANCHORARRAY(J94))</f>
        <v>3.9</v>
      </c>
      <c r="K104" s="35">
        <f t="shared" ref="K104" si="126">L104/J104</f>
        <v>1.0083333333333333</v>
      </c>
      <c r="L104" s="35">
        <f>SUM(L94:L103)</f>
        <v>3.9324999999999997</v>
      </c>
      <c r="M104" s="35">
        <f t="shared" ref="M104" si="127">SUM(_xlfn.ANCHORARRAY(M94))</f>
        <v>3.9</v>
      </c>
      <c r="N104" s="35">
        <f t="shared" ref="N104" si="128">O104/M104</f>
        <v>0.94846153846153858</v>
      </c>
      <c r="O104" s="35">
        <f>SUM(O94:O103)</f>
        <v>3.6990000000000003</v>
      </c>
      <c r="P104" s="35">
        <f t="shared" ref="P104" si="129">SUM(_xlfn.ANCHORARRAY(P94))</f>
        <v>3.9</v>
      </c>
      <c r="Q104" s="35">
        <f t="shared" ref="Q104" si="130">R104/P104</f>
        <v>1.4870000000000001</v>
      </c>
      <c r="R104" s="35">
        <f>SUM(R94:R103)</f>
        <v>5.7993000000000006</v>
      </c>
      <c r="S104" s="35">
        <f t="shared" ref="S104" si="131">SUM(_xlfn.ANCHORARRAY(S94))</f>
        <v>3.9</v>
      </c>
      <c r="T104" s="35">
        <f t="shared" ref="T104" si="132">U104/S104</f>
        <v>1.9015897435897438</v>
      </c>
      <c r="U104" s="35">
        <f>SUM(U94:U103)</f>
        <v>7.4162000000000008</v>
      </c>
      <c r="V104" s="35">
        <f t="shared" ref="V104" si="133">SUM(_xlfn.ANCHORARRAY(V94))</f>
        <v>3.9</v>
      </c>
      <c r="W104" s="35">
        <f t="shared" ref="W104" si="134">X104/V104</f>
        <v>1.9015897435897438</v>
      </c>
      <c r="X104" s="35">
        <f>SUM(X94:X103)</f>
        <v>7.4162000000000008</v>
      </c>
      <c r="Y104" s="35">
        <f t="shared" ref="Y104" si="135">SUM(_xlfn.ANCHORARRAY(Y94))</f>
        <v>3.9</v>
      </c>
      <c r="Z104" s="35">
        <f t="shared" ref="Z104" si="136">AA104/Y104</f>
        <v>1.9015897435897438</v>
      </c>
      <c r="AA104" s="35">
        <f>SUM(AA94:AA103)</f>
        <v>7.4162000000000008</v>
      </c>
    </row>
    <row r="107" spans="1:27" x14ac:dyDescent="0.3">
      <c r="A107" s="49" t="s">
        <v>70</v>
      </c>
      <c r="B107" s="36"/>
      <c r="C107" s="37"/>
      <c r="D107" s="67" t="s">
        <v>54</v>
      </c>
      <c r="E107" s="68"/>
      <c r="F107" s="69"/>
      <c r="G107" s="67" t="s">
        <v>55</v>
      </c>
      <c r="H107" s="68"/>
      <c r="I107" s="69"/>
      <c r="J107" s="67" t="s">
        <v>56</v>
      </c>
      <c r="K107" s="68"/>
      <c r="L107" s="69"/>
      <c r="M107" s="67" t="s">
        <v>57</v>
      </c>
      <c r="N107" s="68"/>
      <c r="O107" s="69"/>
      <c r="P107" s="67" t="s">
        <v>58</v>
      </c>
      <c r="Q107" s="68"/>
      <c r="R107" s="69"/>
      <c r="S107" s="67" t="s">
        <v>59</v>
      </c>
      <c r="T107" s="68"/>
      <c r="U107" s="69"/>
      <c r="V107" s="67" t="s">
        <v>60</v>
      </c>
      <c r="W107" s="68"/>
      <c r="X107" s="69"/>
      <c r="Y107" s="67" t="s">
        <v>61</v>
      </c>
      <c r="Z107" s="68"/>
      <c r="AA107" s="69"/>
    </row>
    <row r="108" spans="1:27" x14ac:dyDescent="0.3">
      <c r="B108" s="70" t="s">
        <v>50</v>
      </c>
      <c r="C108" s="71"/>
      <c r="D108" s="42" t="s">
        <v>53</v>
      </c>
      <c r="E108" s="35" t="s">
        <v>52</v>
      </c>
      <c r="F108" s="43" t="s">
        <v>51</v>
      </c>
      <c r="G108" s="42" t="s">
        <v>53</v>
      </c>
      <c r="H108" s="35" t="s">
        <v>52</v>
      </c>
      <c r="I108" s="43" t="s">
        <v>51</v>
      </c>
      <c r="J108" s="42" t="s">
        <v>53</v>
      </c>
      <c r="K108" s="35" t="s">
        <v>52</v>
      </c>
      <c r="L108" s="43" t="s">
        <v>51</v>
      </c>
      <c r="M108" s="42" t="s">
        <v>53</v>
      </c>
      <c r="N108" s="35" t="s">
        <v>52</v>
      </c>
      <c r="O108" s="43" t="s">
        <v>51</v>
      </c>
      <c r="P108" s="42" t="s">
        <v>53</v>
      </c>
      <c r="Q108" s="35" t="s">
        <v>52</v>
      </c>
      <c r="R108" s="43" t="s">
        <v>51</v>
      </c>
      <c r="S108" s="42" t="s">
        <v>53</v>
      </c>
      <c r="T108" s="35" t="s">
        <v>52</v>
      </c>
      <c r="U108" s="43" t="s">
        <v>51</v>
      </c>
      <c r="V108" s="42" t="s">
        <v>53</v>
      </c>
      <c r="W108" s="35" t="s">
        <v>52</v>
      </c>
      <c r="X108" s="43" t="s">
        <v>51</v>
      </c>
      <c r="Y108" s="42" t="s">
        <v>53</v>
      </c>
      <c r="Z108" s="35" t="s">
        <v>52</v>
      </c>
      <c r="AA108" s="43" t="s">
        <v>51</v>
      </c>
    </row>
    <row r="109" spans="1:27" ht="14.4" customHeight="1" x14ac:dyDescent="0.3">
      <c r="B109" s="72" t="s">
        <v>62</v>
      </c>
      <c r="C109" s="43" t="str" cm="1">
        <f t="array" ref="C109:C118">'DATA AND SCENARIO'!$E$2:$E$11</f>
        <v>A-B</v>
      </c>
      <c r="D109" s="42" cm="1">
        <f t="array" ref="D109:D118">'DATA AND SCENARIO'!$F$2:$F$11</f>
        <v>0.6</v>
      </c>
      <c r="E109" s="35">
        <v>2.5</v>
      </c>
      <c r="F109" s="43">
        <f>D109*E109</f>
        <v>1.5</v>
      </c>
      <c r="G109" s="42" cm="1">
        <f t="array" ref="G109:G118">'DATA AND SCENARIO'!$F$2:$F$11</f>
        <v>0.6</v>
      </c>
      <c r="H109" s="35">
        <v>2.5</v>
      </c>
      <c r="I109" s="43">
        <f>G109*H109</f>
        <v>1.5</v>
      </c>
      <c r="J109" s="42" cm="1">
        <f t="array" ref="J109:J118">'DATA AND SCENARIO'!$F$2:$F$11</f>
        <v>0.6</v>
      </c>
      <c r="K109" s="35">
        <v>2.5</v>
      </c>
      <c r="L109" s="43">
        <f>J109*K109</f>
        <v>1.5</v>
      </c>
      <c r="M109" s="42" cm="1">
        <f t="array" ref="M109:M118">'DATA AND SCENARIO'!$F$2:$F$11</f>
        <v>0.6</v>
      </c>
      <c r="N109" s="35">
        <v>2.5</v>
      </c>
      <c r="O109" s="43">
        <f>M109*N109</f>
        <v>1.5</v>
      </c>
      <c r="P109" s="42" cm="1">
        <f t="array" ref="P109:P118">'DATA AND SCENARIO'!$F$2:$F$11</f>
        <v>0.6</v>
      </c>
      <c r="Q109" s="35">
        <v>2.5</v>
      </c>
      <c r="R109" s="43">
        <f>P109*Q109</f>
        <v>1.5</v>
      </c>
      <c r="S109" s="42" cm="1">
        <f t="array" ref="S109:S118">'DATA AND SCENARIO'!$F$2:$F$11</f>
        <v>0.6</v>
      </c>
      <c r="T109" s="35">
        <v>2.5</v>
      </c>
      <c r="U109" s="43">
        <f>S109*T109</f>
        <v>1.5</v>
      </c>
      <c r="V109" s="42" cm="1">
        <f t="array" ref="V109:V118">'DATA AND SCENARIO'!$F$2:$F$11</f>
        <v>0.6</v>
      </c>
      <c r="W109" s="35">
        <v>2.5</v>
      </c>
      <c r="X109" s="43">
        <f>V109*W109</f>
        <v>1.5</v>
      </c>
      <c r="Y109" s="42" cm="1">
        <f t="array" ref="Y109:Y118">'DATA AND SCENARIO'!$F$2:$F$11</f>
        <v>0.6</v>
      </c>
      <c r="Z109" s="35">
        <v>2.5</v>
      </c>
      <c r="AA109" s="43">
        <f>Y109*Z109</f>
        <v>1.5</v>
      </c>
    </row>
    <row r="110" spans="1:27" x14ac:dyDescent="0.3">
      <c r="B110" s="72"/>
      <c r="C110" s="43" t="str">
        <v>B-C</v>
      </c>
      <c r="D110" s="42">
        <v>0.4</v>
      </c>
      <c r="E110" s="35">
        <v>0.33300000000000002</v>
      </c>
      <c r="F110" s="43">
        <f t="shared" ref="F110:F117" si="137">D110*E110</f>
        <v>0.13320000000000001</v>
      </c>
      <c r="G110" s="42">
        <v>0.4</v>
      </c>
      <c r="H110" s="35">
        <v>2</v>
      </c>
      <c r="I110" s="43">
        <f t="shared" ref="I110:I117" si="138">G110*H110</f>
        <v>0.8</v>
      </c>
      <c r="J110" s="42">
        <v>0.4</v>
      </c>
      <c r="K110" s="35">
        <v>2</v>
      </c>
      <c r="L110" s="43">
        <f t="shared" ref="L110:L117" si="139">J110*K110</f>
        <v>0.8</v>
      </c>
      <c r="M110" s="42">
        <v>0.4</v>
      </c>
      <c r="N110" s="35">
        <v>0.33300000000000002</v>
      </c>
      <c r="O110" s="43">
        <f t="shared" ref="O110:O117" si="140">M110*N110</f>
        <v>0.13320000000000001</v>
      </c>
      <c r="P110" s="42">
        <v>0.4</v>
      </c>
      <c r="Q110" s="35">
        <v>0.33300000000000002</v>
      </c>
      <c r="R110" s="43">
        <f t="shared" ref="R110:R117" si="141">P110*Q110</f>
        <v>0.13320000000000001</v>
      </c>
      <c r="S110" s="42">
        <v>0.4</v>
      </c>
      <c r="T110" s="35">
        <v>0.33300000000000002</v>
      </c>
      <c r="U110" s="43">
        <f t="shared" ref="U110:U117" si="142">S110*T110</f>
        <v>0.13320000000000001</v>
      </c>
      <c r="V110" s="42">
        <v>0.4</v>
      </c>
      <c r="W110" s="35">
        <v>0.33300000000000002</v>
      </c>
      <c r="X110" s="43">
        <f t="shared" ref="X110:X117" si="143">V110*W110</f>
        <v>0.13320000000000001</v>
      </c>
      <c r="Y110" s="42">
        <v>0.4</v>
      </c>
      <c r="Z110" s="35">
        <v>0.33300000000000002</v>
      </c>
      <c r="AA110" s="43">
        <f t="shared" ref="AA110:AA117" si="144">Y110*Z110</f>
        <v>0.13320000000000001</v>
      </c>
    </row>
    <row r="111" spans="1:27" x14ac:dyDescent="0.3">
      <c r="B111" s="72"/>
      <c r="C111" s="43" t="str">
        <v>C-D</v>
      </c>
      <c r="D111" s="42">
        <v>0.4</v>
      </c>
      <c r="E111" s="35">
        <v>0.33300000000000002</v>
      </c>
      <c r="F111" s="43">
        <f t="shared" si="137"/>
        <v>0.13320000000000001</v>
      </c>
      <c r="G111" s="42">
        <v>0.4</v>
      </c>
      <c r="H111" s="35">
        <v>0.33300000000000002</v>
      </c>
      <c r="I111" s="43">
        <f t="shared" si="138"/>
        <v>0.13320000000000001</v>
      </c>
      <c r="J111" s="42">
        <v>0.4</v>
      </c>
      <c r="K111" s="35">
        <v>2</v>
      </c>
      <c r="L111" s="43">
        <f t="shared" si="139"/>
        <v>0.8</v>
      </c>
      <c r="M111" s="42">
        <v>0.4</v>
      </c>
      <c r="N111" s="35">
        <v>0.33300000000000002</v>
      </c>
      <c r="O111" s="43">
        <f t="shared" si="140"/>
        <v>0.13320000000000001</v>
      </c>
      <c r="P111" s="42">
        <v>0.4</v>
      </c>
      <c r="Q111" s="35">
        <v>0.33300000000000002</v>
      </c>
      <c r="R111" s="43">
        <f t="shared" si="141"/>
        <v>0.13320000000000001</v>
      </c>
      <c r="S111" s="42">
        <v>0.4</v>
      </c>
      <c r="T111" s="35">
        <v>0.33300000000000002</v>
      </c>
      <c r="U111" s="43">
        <f t="shared" si="142"/>
        <v>0.13320000000000001</v>
      </c>
      <c r="V111" s="42">
        <v>0.4</v>
      </c>
      <c r="W111" s="35">
        <v>0.33300000000000002</v>
      </c>
      <c r="X111" s="43">
        <f t="shared" si="143"/>
        <v>0.13320000000000001</v>
      </c>
      <c r="Y111" s="42">
        <v>0.4</v>
      </c>
      <c r="Z111" s="35">
        <v>0.33300000000000002</v>
      </c>
      <c r="AA111" s="43">
        <f t="shared" si="144"/>
        <v>0.13320000000000001</v>
      </c>
    </row>
    <row r="112" spans="1:27" x14ac:dyDescent="0.3">
      <c r="B112" s="72"/>
      <c r="C112" s="43" t="str">
        <v>B-E</v>
      </c>
      <c r="D112" s="42">
        <v>0.3</v>
      </c>
      <c r="E112" s="35">
        <v>0.33300000000000002</v>
      </c>
      <c r="F112" s="43">
        <f t="shared" si="137"/>
        <v>9.9900000000000003E-2</v>
      </c>
      <c r="G112" s="42">
        <v>0.3</v>
      </c>
      <c r="H112" s="35">
        <v>0.33300000000000002</v>
      </c>
      <c r="I112" s="43">
        <f t="shared" si="138"/>
        <v>9.9900000000000003E-2</v>
      </c>
      <c r="J112" s="42">
        <v>0.3</v>
      </c>
      <c r="K112" s="35">
        <v>0.33300000000000002</v>
      </c>
      <c r="L112" s="43">
        <f t="shared" si="139"/>
        <v>9.9900000000000003E-2</v>
      </c>
      <c r="M112" s="42">
        <v>0.3</v>
      </c>
      <c r="N112" s="35">
        <v>4</v>
      </c>
      <c r="O112" s="43">
        <f t="shared" si="140"/>
        <v>1.2</v>
      </c>
      <c r="P112" s="42">
        <v>0.3</v>
      </c>
      <c r="Q112" s="35">
        <v>4</v>
      </c>
      <c r="R112" s="43">
        <f t="shared" si="141"/>
        <v>1.2</v>
      </c>
      <c r="S112" s="42">
        <v>0.3</v>
      </c>
      <c r="T112" s="35">
        <v>4</v>
      </c>
      <c r="U112" s="43">
        <f t="shared" si="142"/>
        <v>1.2</v>
      </c>
      <c r="V112" s="42">
        <v>0.3</v>
      </c>
      <c r="W112" s="35">
        <v>4</v>
      </c>
      <c r="X112" s="43">
        <f t="shared" si="143"/>
        <v>1.2</v>
      </c>
      <c r="Y112" s="42">
        <v>0.3</v>
      </c>
      <c r="Z112" s="35">
        <v>4</v>
      </c>
      <c r="AA112" s="43">
        <f t="shared" si="144"/>
        <v>1.2</v>
      </c>
    </row>
    <row r="113" spans="1:27" x14ac:dyDescent="0.3">
      <c r="B113" s="72"/>
      <c r="C113" s="43" t="str">
        <v>E-F</v>
      </c>
      <c r="D113" s="42">
        <v>0.3</v>
      </c>
      <c r="E113" s="35">
        <v>0.33300000000000002</v>
      </c>
      <c r="F113" s="43">
        <f t="shared" si="137"/>
        <v>9.9900000000000003E-2</v>
      </c>
      <c r="G113" s="42">
        <v>0.3</v>
      </c>
      <c r="H113" s="35">
        <v>0.33300000000000002</v>
      </c>
      <c r="I113" s="43">
        <f t="shared" si="138"/>
        <v>9.9900000000000003E-2</v>
      </c>
      <c r="J113" s="42">
        <v>0.3</v>
      </c>
      <c r="K113" s="35">
        <v>0.33300000000000002</v>
      </c>
      <c r="L113" s="43">
        <f t="shared" si="139"/>
        <v>9.9900000000000003E-2</v>
      </c>
      <c r="M113" s="42">
        <v>0.3</v>
      </c>
      <c r="N113" s="35">
        <v>0.33300000000000002</v>
      </c>
      <c r="O113" s="43">
        <f t="shared" si="140"/>
        <v>9.9900000000000003E-2</v>
      </c>
      <c r="P113" s="42">
        <v>0.3</v>
      </c>
      <c r="Q113" s="35">
        <v>3</v>
      </c>
      <c r="R113" s="43">
        <f t="shared" si="141"/>
        <v>0.89999999999999991</v>
      </c>
      <c r="S113" s="42">
        <v>0.3</v>
      </c>
      <c r="T113" s="35">
        <v>3</v>
      </c>
      <c r="U113" s="43">
        <f t="shared" si="142"/>
        <v>0.89999999999999991</v>
      </c>
      <c r="V113" s="42">
        <v>0.3</v>
      </c>
      <c r="W113" s="35">
        <v>3</v>
      </c>
      <c r="X113" s="43">
        <f t="shared" si="143"/>
        <v>0.89999999999999991</v>
      </c>
      <c r="Y113" s="42">
        <v>0.3</v>
      </c>
      <c r="Z113" s="35">
        <v>3</v>
      </c>
      <c r="AA113" s="43">
        <f t="shared" si="144"/>
        <v>0.89999999999999991</v>
      </c>
    </row>
    <row r="114" spans="1:27" x14ac:dyDescent="0.3">
      <c r="B114" s="72"/>
      <c r="C114" s="43" t="str">
        <v>F-G</v>
      </c>
      <c r="D114" s="42">
        <v>0.6</v>
      </c>
      <c r="E114" s="35">
        <v>0.33300000000000002</v>
      </c>
      <c r="F114" s="43">
        <f t="shared" si="137"/>
        <v>0.19980000000000001</v>
      </c>
      <c r="G114" s="42">
        <v>0.6</v>
      </c>
      <c r="H114" s="35">
        <v>0.33300000000000002</v>
      </c>
      <c r="I114" s="43">
        <f t="shared" si="138"/>
        <v>0.19980000000000001</v>
      </c>
      <c r="J114" s="42">
        <v>0.6</v>
      </c>
      <c r="K114" s="35">
        <v>0.33300000000000002</v>
      </c>
      <c r="L114" s="43">
        <f t="shared" si="139"/>
        <v>0.19980000000000001</v>
      </c>
      <c r="M114" s="42">
        <v>0.6</v>
      </c>
      <c r="N114" s="35">
        <v>0.33300000000000002</v>
      </c>
      <c r="O114" s="43">
        <f t="shared" si="140"/>
        <v>0.19980000000000001</v>
      </c>
      <c r="P114" s="42">
        <v>0.6</v>
      </c>
      <c r="Q114" s="35">
        <v>2.5</v>
      </c>
      <c r="R114" s="43">
        <f>P114*Q114</f>
        <v>1.5</v>
      </c>
      <c r="S114" s="42">
        <v>0.6</v>
      </c>
      <c r="T114" s="35">
        <v>0.33300000000000002</v>
      </c>
      <c r="U114" s="43">
        <f t="shared" si="142"/>
        <v>0.19980000000000001</v>
      </c>
      <c r="V114" s="42">
        <v>0.6</v>
      </c>
      <c r="W114" s="35">
        <v>0.33300000000000002</v>
      </c>
      <c r="X114" s="43">
        <f t="shared" si="143"/>
        <v>0.19980000000000001</v>
      </c>
      <c r="Y114" s="42">
        <v>0.6</v>
      </c>
      <c r="Z114" s="35">
        <v>0.33300000000000002</v>
      </c>
      <c r="AA114" s="43">
        <f t="shared" si="144"/>
        <v>0.19980000000000001</v>
      </c>
    </row>
    <row r="115" spans="1:27" x14ac:dyDescent="0.3">
      <c r="B115" s="72"/>
      <c r="C115" s="43" t="str">
        <v>F-H</v>
      </c>
      <c r="D115" s="42">
        <v>0.5</v>
      </c>
      <c r="E115" s="35">
        <v>0.33300000000000002</v>
      </c>
      <c r="F115" s="43">
        <f t="shared" si="137"/>
        <v>0.16650000000000001</v>
      </c>
      <c r="G115" s="42">
        <v>0.5</v>
      </c>
      <c r="H115" s="35">
        <v>0.33300000000000002</v>
      </c>
      <c r="I115" s="43">
        <f t="shared" si="138"/>
        <v>0.16650000000000001</v>
      </c>
      <c r="J115" s="42">
        <v>0.5</v>
      </c>
      <c r="K115" s="35">
        <v>0.33300000000000002</v>
      </c>
      <c r="L115" s="43">
        <f t="shared" si="139"/>
        <v>0.16650000000000001</v>
      </c>
      <c r="M115" s="42">
        <v>0.5</v>
      </c>
      <c r="N115" s="35">
        <v>0.33300000000000002</v>
      </c>
      <c r="O115" s="43">
        <f t="shared" si="140"/>
        <v>0.16650000000000001</v>
      </c>
      <c r="P115" s="42">
        <v>0.5</v>
      </c>
      <c r="Q115" s="35">
        <v>0.33300000000000002</v>
      </c>
      <c r="R115" s="43">
        <f t="shared" si="141"/>
        <v>0.16650000000000001</v>
      </c>
      <c r="S115" s="42">
        <v>0.5</v>
      </c>
      <c r="T115" s="35">
        <v>3</v>
      </c>
      <c r="U115" s="43">
        <f t="shared" si="142"/>
        <v>1.5</v>
      </c>
      <c r="V115" s="42">
        <v>0.5</v>
      </c>
      <c r="W115" s="35">
        <v>3</v>
      </c>
      <c r="X115" s="43">
        <f t="shared" si="143"/>
        <v>1.5</v>
      </c>
      <c r="Y115" s="42">
        <v>0.5</v>
      </c>
      <c r="Z115" s="35">
        <v>3</v>
      </c>
      <c r="AA115" s="43">
        <f t="shared" si="144"/>
        <v>1.5</v>
      </c>
    </row>
    <row r="116" spans="1:27" x14ac:dyDescent="0.3">
      <c r="B116" s="72"/>
      <c r="C116" s="43" t="str">
        <v>H-I</v>
      </c>
      <c r="D116" s="42">
        <v>0.3</v>
      </c>
      <c r="E116" s="35">
        <v>0.33300000000000002</v>
      </c>
      <c r="F116" s="43">
        <f t="shared" si="137"/>
        <v>9.9900000000000003E-2</v>
      </c>
      <c r="G116" s="42">
        <v>0.3</v>
      </c>
      <c r="H116" s="35">
        <v>0.33300000000000002</v>
      </c>
      <c r="I116" s="43">
        <f t="shared" si="138"/>
        <v>9.9900000000000003E-2</v>
      </c>
      <c r="J116" s="42">
        <v>0.3</v>
      </c>
      <c r="K116" s="35">
        <v>0.33300000000000002</v>
      </c>
      <c r="L116" s="43">
        <f t="shared" si="139"/>
        <v>9.9900000000000003E-2</v>
      </c>
      <c r="M116" s="42">
        <v>0.3</v>
      </c>
      <c r="N116" s="35">
        <v>0.33300000000000002</v>
      </c>
      <c r="O116" s="43">
        <f t="shared" si="140"/>
        <v>9.9900000000000003E-2</v>
      </c>
      <c r="P116" s="42">
        <v>0.3</v>
      </c>
      <c r="Q116" s="35">
        <v>0.33300000000000002</v>
      </c>
      <c r="R116" s="43">
        <f t="shared" si="141"/>
        <v>9.9900000000000003E-2</v>
      </c>
      <c r="S116" s="42">
        <v>0.3</v>
      </c>
      <c r="T116" s="35">
        <v>3</v>
      </c>
      <c r="U116" s="43">
        <f t="shared" si="142"/>
        <v>0.89999999999999991</v>
      </c>
      <c r="V116" s="42">
        <v>0.3</v>
      </c>
      <c r="W116" s="35">
        <v>3</v>
      </c>
      <c r="X116" s="43">
        <f t="shared" si="143"/>
        <v>0.89999999999999991</v>
      </c>
      <c r="Y116" s="42">
        <v>0.3</v>
      </c>
      <c r="Z116" s="35">
        <v>3</v>
      </c>
      <c r="AA116" s="43">
        <f t="shared" si="144"/>
        <v>0.89999999999999991</v>
      </c>
    </row>
    <row r="117" spans="1:27" x14ac:dyDescent="0.3">
      <c r="B117" s="72"/>
      <c r="C117" s="43" t="str">
        <v>I-J</v>
      </c>
      <c r="D117" s="42">
        <v>0.2</v>
      </c>
      <c r="E117" s="35">
        <v>0.33300000000000002</v>
      </c>
      <c r="F117" s="43">
        <f t="shared" si="137"/>
        <v>6.6600000000000006E-2</v>
      </c>
      <c r="G117" s="42">
        <v>0.2</v>
      </c>
      <c r="H117" s="35">
        <v>0.33300000000000002</v>
      </c>
      <c r="I117" s="43">
        <f t="shared" si="138"/>
        <v>6.6600000000000006E-2</v>
      </c>
      <c r="J117" s="42">
        <v>0.2</v>
      </c>
      <c r="K117" s="35">
        <v>0.33300000000000002</v>
      </c>
      <c r="L117" s="43">
        <f t="shared" si="139"/>
        <v>6.6600000000000006E-2</v>
      </c>
      <c r="M117" s="42">
        <v>0.2</v>
      </c>
      <c r="N117" s="35">
        <v>0.33300000000000002</v>
      </c>
      <c r="O117" s="43">
        <f t="shared" si="140"/>
        <v>6.6600000000000006E-2</v>
      </c>
      <c r="P117" s="42">
        <v>0.2</v>
      </c>
      <c r="Q117" s="35">
        <v>0.33300000000000002</v>
      </c>
      <c r="R117" s="43">
        <f t="shared" si="141"/>
        <v>6.6600000000000006E-2</v>
      </c>
      <c r="S117" s="42">
        <v>0.2</v>
      </c>
      <c r="T117" s="35">
        <v>0.33300000000000002</v>
      </c>
      <c r="U117" s="43">
        <f t="shared" si="142"/>
        <v>6.6600000000000006E-2</v>
      </c>
      <c r="V117" s="42">
        <v>0.2</v>
      </c>
      <c r="W117" s="35">
        <v>1</v>
      </c>
      <c r="X117" s="43">
        <f t="shared" si="143"/>
        <v>0.2</v>
      </c>
      <c r="Y117" s="42">
        <v>0.2</v>
      </c>
      <c r="Z117" s="35">
        <v>1</v>
      </c>
      <c r="AA117" s="43">
        <f t="shared" si="144"/>
        <v>0.2</v>
      </c>
    </row>
    <row r="118" spans="1:27" x14ac:dyDescent="0.3">
      <c r="B118" s="73"/>
      <c r="C118" s="44" t="str">
        <v>I-K</v>
      </c>
      <c r="D118" s="45">
        <v>0.3</v>
      </c>
      <c r="E118" s="46">
        <v>0.33300000000000002</v>
      </c>
      <c r="F118" s="44">
        <f>D118*E118</f>
        <v>9.9900000000000003E-2</v>
      </c>
      <c r="G118" s="45">
        <v>0.3</v>
      </c>
      <c r="H118" s="46">
        <v>0.33300000000000002</v>
      </c>
      <c r="I118" s="44">
        <f>G118*H118</f>
        <v>9.9900000000000003E-2</v>
      </c>
      <c r="J118" s="45">
        <v>0.3</v>
      </c>
      <c r="K118" s="46">
        <v>0.33300000000000002</v>
      </c>
      <c r="L118" s="44">
        <f>J118*K118</f>
        <v>9.9900000000000003E-2</v>
      </c>
      <c r="M118" s="45">
        <v>0.3</v>
      </c>
      <c r="N118" s="46">
        <v>0.33300000000000002</v>
      </c>
      <c r="O118" s="44">
        <f>M118*N118</f>
        <v>9.9900000000000003E-2</v>
      </c>
      <c r="P118" s="45">
        <v>0.3</v>
      </c>
      <c r="Q118" s="46">
        <v>0.33300000000000002</v>
      </c>
      <c r="R118" s="44">
        <f>P118*Q118</f>
        <v>9.9900000000000003E-2</v>
      </c>
      <c r="S118" s="45">
        <v>0.3</v>
      </c>
      <c r="T118" s="46">
        <v>0.33300000000000002</v>
      </c>
      <c r="U118" s="44">
        <f>S118*T118</f>
        <v>9.9900000000000003E-2</v>
      </c>
      <c r="V118" s="45">
        <v>0.3</v>
      </c>
      <c r="W118" s="46">
        <v>2.5</v>
      </c>
      <c r="X118" s="44">
        <f>V118*W118</f>
        <v>0.75</v>
      </c>
      <c r="Y118" s="45">
        <v>0.3</v>
      </c>
      <c r="Z118" s="46">
        <v>2.5</v>
      </c>
      <c r="AA118" s="44">
        <f>Y118*Z118</f>
        <v>0.75</v>
      </c>
    </row>
    <row r="119" spans="1:27" x14ac:dyDescent="0.3">
      <c r="C119" s="35" t="s">
        <v>63</v>
      </c>
      <c r="D119" s="35">
        <f>SUM(_xlfn.ANCHORARRAY(D109))</f>
        <v>3.9</v>
      </c>
      <c r="E119" s="35">
        <f>F119/D119</f>
        <v>0.66638461538461546</v>
      </c>
      <c r="F119" s="35">
        <f>SUM(F109:F118)</f>
        <v>2.5989000000000004</v>
      </c>
      <c r="G119" s="35">
        <f t="shared" ref="G119" si="145">SUM(_xlfn.ANCHORARRAY(G109))</f>
        <v>3.9</v>
      </c>
      <c r="H119" s="35">
        <f t="shared" ref="H119" si="146">I119/G119</f>
        <v>0.83735897435897433</v>
      </c>
      <c r="I119" s="35">
        <f>SUM(I109:I118)</f>
        <v>3.2656999999999998</v>
      </c>
      <c r="J119" s="35">
        <f t="shared" ref="J119" si="147">SUM(_xlfn.ANCHORARRAY(J109))</f>
        <v>3.9</v>
      </c>
      <c r="K119" s="35">
        <f t="shared" ref="K119" si="148">L119/J119</f>
        <v>1.0083333333333333</v>
      </c>
      <c r="L119" s="35">
        <f>SUM(L109:L118)</f>
        <v>3.9324999999999997</v>
      </c>
      <c r="M119" s="35">
        <f t="shared" ref="M119" si="149">SUM(_xlfn.ANCHORARRAY(M109))</f>
        <v>3.9</v>
      </c>
      <c r="N119" s="35">
        <f t="shared" ref="N119" si="150">O119/M119</f>
        <v>0.94846153846153858</v>
      </c>
      <c r="O119" s="35">
        <f>SUM(O109:O118)</f>
        <v>3.6990000000000003</v>
      </c>
      <c r="P119" s="35">
        <f t="shared" ref="P119" si="151">SUM(_xlfn.ANCHORARRAY(P109))</f>
        <v>3.9</v>
      </c>
      <c r="Q119" s="35">
        <f t="shared" ref="Q119" si="152">R119/P119</f>
        <v>1.4870000000000001</v>
      </c>
      <c r="R119" s="35">
        <f>SUM(R109:R118)</f>
        <v>5.7993000000000006</v>
      </c>
      <c r="S119" s="35">
        <f t="shared" ref="S119" si="153">SUM(_xlfn.ANCHORARRAY(S109))</f>
        <v>3.9</v>
      </c>
      <c r="T119" s="35">
        <f t="shared" ref="T119" si="154">U119/S119</f>
        <v>1.7006923076923079</v>
      </c>
      <c r="U119" s="35">
        <f>SUM(U109:U118)</f>
        <v>6.6327000000000007</v>
      </c>
      <c r="V119" s="35">
        <f t="shared" ref="V119" si="155">SUM(_xlfn.ANCHORARRAY(V109))</f>
        <v>3.9</v>
      </c>
      <c r="W119" s="35">
        <f t="shared" ref="W119" si="156">X119/V119</f>
        <v>1.9015897435897438</v>
      </c>
      <c r="X119" s="35">
        <f>SUM(X109:X118)</f>
        <v>7.4162000000000008</v>
      </c>
      <c r="Y119" s="35">
        <f t="shared" ref="Y119" si="157">SUM(_xlfn.ANCHORARRAY(Y109))</f>
        <v>3.9</v>
      </c>
      <c r="Z119" s="35">
        <f t="shared" ref="Z119" si="158">AA119/Y119</f>
        <v>1.9015897435897438</v>
      </c>
      <c r="AA119" s="35">
        <f>SUM(AA109:AA118)</f>
        <v>7.4162000000000008</v>
      </c>
    </row>
    <row r="122" spans="1:27" x14ac:dyDescent="0.3">
      <c r="A122" s="49" t="s">
        <v>71</v>
      </c>
      <c r="B122" s="36"/>
      <c r="C122" s="37"/>
      <c r="D122" s="67" t="s">
        <v>54</v>
      </c>
      <c r="E122" s="68"/>
      <c r="F122" s="69"/>
      <c r="G122" s="67" t="s">
        <v>55</v>
      </c>
      <c r="H122" s="68"/>
      <c r="I122" s="69"/>
      <c r="J122" s="67" t="s">
        <v>56</v>
      </c>
      <c r="K122" s="68"/>
      <c r="L122" s="69"/>
      <c r="M122" s="67" t="s">
        <v>57</v>
      </c>
      <c r="N122" s="68"/>
      <c r="O122" s="69"/>
      <c r="P122" s="67" t="s">
        <v>58</v>
      </c>
      <c r="Q122" s="68"/>
      <c r="R122" s="69"/>
      <c r="S122" s="67" t="s">
        <v>59</v>
      </c>
      <c r="T122" s="68"/>
      <c r="U122" s="69"/>
      <c r="V122" s="67" t="s">
        <v>60</v>
      </c>
      <c r="W122" s="68"/>
      <c r="X122" s="69"/>
      <c r="Y122" s="67" t="s">
        <v>61</v>
      </c>
      <c r="Z122" s="68"/>
      <c r="AA122" s="69"/>
    </row>
    <row r="123" spans="1:27" x14ac:dyDescent="0.3">
      <c r="B123" s="70" t="s">
        <v>50</v>
      </c>
      <c r="C123" s="71"/>
      <c r="D123" s="42" t="s">
        <v>53</v>
      </c>
      <c r="E123" s="35" t="s">
        <v>52</v>
      </c>
      <c r="F123" s="43" t="s">
        <v>51</v>
      </c>
      <c r="G123" s="42" t="s">
        <v>53</v>
      </c>
      <c r="H123" s="35" t="s">
        <v>52</v>
      </c>
      <c r="I123" s="43" t="s">
        <v>51</v>
      </c>
      <c r="J123" s="42" t="s">
        <v>53</v>
      </c>
      <c r="K123" s="35" t="s">
        <v>52</v>
      </c>
      <c r="L123" s="43" t="s">
        <v>51</v>
      </c>
      <c r="M123" s="42" t="s">
        <v>53</v>
      </c>
      <c r="N123" s="35" t="s">
        <v>52</v>
      </c>
      <c r="O123" s="43" t="s">
        <v>51</v>
      </c>
      <c r="P123" s="42" t="s">
        <v>53</v>
      </c>
      <c r="Q123" s="35" t="s">
        <v>52</v>
      </c>
      <c r="R123" s="43" t="s">
        <v>51</v>
      </c>
      <c r="S123" s="42" t="s">
        <v>53</v>
      </c>
      <c r="T123" s="35" t="s">
        <v>52</v>
      </c>
      <c r="U123" s="43" t="s">
        <v>51</v>
      </c>
      <c r="V123" s="42" t="s">
        <v>53</v>
      </c>
      <c r="W123" s="35" t="s">
        <v>52</v>
      </c>
      <c r="X123" s="43" t="s">
        <v>51</v>
      </c>
      <c r="Y123" s="42" t="s">
        <v>53</v>
      </c>
      <c r="Z123" s="35" t="s">
        <v>52</v>
      </c>
      <c r="AA123" s="43" t="s">
        <v>51</v>
      </c>
    </row>
    <row r="124" spans="1:27" ht="14.4" customHeight="1" x14ac:dyDescent="0.3">
      <c r="B124" s="72" t="s">
        <v>62</v>
      </c>
      <c r="C124" s="43" t="str" cm="1">
        <f t="array" ref="C124:C133">'DATA AND SCENARIO'!$E$2:$E$11</f>
        <v>A-B</v>
      </c>
      <c r="D124" s="42" cm="1">
        <f t="array" ref="D124:D133">'DATA AND SCENARIO'!$F$2:$F$11</f>
        <v>0.6</v>
      </c>
      <c r="E124" s="35">
        <v>2.5</v>
      </c>
      <c r="F124" s="43">
        <f>D124*E124</f>
        <v>1.5</v>
      </c>
      <c r="G124" s="42" cm="1">
        <f t="array" ref="G124:G133">'DATA AND SCENARIO'!$F$2:$F$11</f>
        <v>0.6</v>
      </c>
      <c r="H124" s="35">
        <v>2.5</v>
      </c>
      <c r="I124" s="43">
        <f>G124*H124</f>
        <v>1.5</v>
      </c>
      <c r="J124" s="42" cm="1">
        <f t="array" ref="J124:J133">'DATA AND SCENARIO'!$F$2:$F$11</f>
        <v>0.6</v>
      </c>
      <c r="K124" s="35">
        <v>2.5</v>
      </c>
      <c r="L124" s="43">
        <f>J124*K124</f>
        <v>1.5</v>
      </c>
      <c r="M124" s="42" cm="1">
        <f t="array" ref="M124:M133">'DATA AND SCENARIO'!$F$2:$F$11</f>
        <v>0.6</v>
      </c>
      <c r="N124" s="35">
        <v>2.5</v>
      </c>
      <c r="O124" s="43">
        <f>M124*N124</f>
        <v>1.5</v>
      </c>
      <c r="P124" s="42" cm="1">
        <f t="array" ref="P124:P133">'DATA AND SCENARIO'!$F$2:$F$11</f>
        <v>0.6</v>
      </c>
      <c r="Q124" s="35">
        <v>2.5</v>
      </c>
      <c r="R124" s="43">
        <f>P124*Q124</f>
        <v>1.5</v>
      </c>
      <c r="S124" s="42" cm="1">
        <f t="array" ref="S124:S133">'DATA AND SCENARIO'!$F$2:$F$11</f>
        <v>0.6</v>
      </c>
      <c r="T124" s="35">
        <v>2.5</v>
      </c>
      <c r="U124" s="43">
        <f>S124*T124</f>
        <v>1.5</v>
      </c>
      <c r="V124" s="42" cm="1">
        <f t="array" ref="V124:V133">'DATA AND SCENARIO'!$F$2:$F$11</f>
        <v>0.6</v>
      </c>
      <c r="W124" s="35">
        <v>2.5</v>
      </c>
      <c r="X124" s="43">
        <f>V124*W124</f>
        <v>1.5</v>
      </c>
      <c r="Y124" s="42" cm="1">
        <f t="array" ref="Y124:Y133">'DATA AND SCENARIO'!$F$2:$F$11</f>
        <v>0.6</v>
      </c>
      <c r="Z124" s="35">
        <v>2.5</v>
      </c>
      <c r="AA124" s="43">
        <f>Y124*Z124</f>
        <v>1.5</v>
      </c>
    </row>
    <row r="125" spans="1:27" x14ac:dyDescent="0.3">
      <c r="B125" s="72"/>
      <c r="C125" s="43" t="str">
        <v>B-C</v>
      </c>
      <c r="D125" s="42">
        <v>0.4</v>
      </c>
      <c r="E125" s="35">
        <v>0.33300000000000002</v>
      </c>
      <c r="F125" s="43">
        <f t="shared" ref="F125:F132" si="159">D125*E125</f>
        <v>0.13320000000000001</v>
      </c>
      <c r="G125" s="42">
        <v>0.4</v>
      </c>
      <c r="H125" s="35">
        <v>2</v>
      </c>
      <c r="I125" s="43">
        <f t="shared" ref="I125:I132" si="160">G125*H125</f>
        <v>0.8</v>
      </c>
      <c r="J125" s="42">
        <v>0.4</v>
      </c>
      <c r="K125" s="35">
        <v>2</v>
      </c>
      <c r="L125" s="43">
        <f t="shared" ref="L125:L132" si="161">J125*K125</f>
        <v>0.8</v>
      </c>
      <c r="M125" s="42">
        <v>0.4</v>
      </c>
      <c r="N125" s="35">
        <v>0.33300000000000002</v>
      </c>
      <c r="O125" s="43">
        <f t="shared" ref="O125:O132" si="162">M125*N125</f>
        <v>0.13320000000000001</v>
      </c>
      <c r="P125" s="42">
        <v>0.4</v>
      </c>
      <c r="Q125" s="35">
        <v>0.33300000000000002</v>
      </c>
      <c r="R125" s="43">
        <f t="shared" ref="R125:R132" si="163">P125*Q125</f>
        <v>0.13320000000000001</v>
      </c>
      <c r="S125" s="42">
        <v>0.4</v>
      </c>
      <c r="T125" s="35">
        <v>0.33300000000000002</v>
      </c>
      <c r="U125" s="43">
        <f t="shared" ref="U125:U132" si="164">S125*T125</f>
        <v>0.13320000000000001</v>
      </c>
      <c r="V125" s="42">
        <v>0.4</v>
      </c>
      <c r="W125" s="35">
        <v>0.33300000000000002</v>
      </c>
      <c r="X125" s="43">
        <f t="shared" ref="X125:X132" si="165">V125*W125</f>
        <v>0.13320000000000001</v>
      </c>
      <c r="Y125" s="42">
        <v>0.4</v>
      </c>
      <c r="Z125" s="35">
        <v>0.33300000000000002</v>
      </c>
      <c r="AA125" s="43">
        <f t="shared" ref="AA125:AA132" si="166">Y125*Z125</f>
        <v>0.13320000000000001</v>
      </c>
    </row>
    <row r="126" spans="1:27" x14ac:dyDescent="0.3">
      <c r="B126" s="72"/>
      <c r="C126" s="43" t="str">
        <v>C-D</v>
      </c>
      <c r="D126" s="42">
        <v>0.4</v>
      </c>
      <c r="E126" s="35">
        <v>0.33300000000000002</v>
      </c>
      <c r="F126" s="43">
        <f t="shared" si="159"/>
        <v>0.13320000000000001</v>
      </c>
      <c r="G126" s="42">
        <v>0.4</v>
      </c>
      <c r="H126" s="35">
        <v>0.33300000000000002</v>
      </c>
      <c r="I126" s="43">
        <f t="shared" si="160"/>
        <v>0.13320000000000001</v>
      </c>
      <c r="J126" s="42">
        <v>0.4</v>
      </c>
      <c r="K126" s="35">
        <v>2</v>
      </c>
      <c r="L126" s="43">
        <f t="shared" si="161"/>
        <v>0.8</v>
      </c>
      <c r="M126" s="42">
        <v>0.4</v>
      </c>
      <c r="N126" s="35">
        <v>0.33300000000000002</v>
      </c>
      <c r="O126" s="43">
        <f t="shared" si="162"/>
        <v>0.13320000000000001</v>
      </c>
      <c r="P126" s="42">
        <v>0.4</v>
      </c>
      <c r="Q126" s="35">
        <v>0.33300000000000002</v>
      </c>
      <c r="R126" s="43">
        <f t="shared" si="163"/>
        <v>0.13320000000000001</v>
      </c>
      <c r="S126" s="42">
        <v>0.4</v>
      </c>
      <c r="T126" s="35">
        <v>0.33300000000000002</v>
      </c>
      <c r="U126" s="43">
        <f t="shared" si="164"/>
        <v>0.13320000000000001</v>
      </c>
      <c r="V126" s="42">
        <v>0.4</v>
      </c>
      <c r="W126" s="35">
        <v>0.33300000000000002</v>
      </c>
      <c r="X126" s="43">
        <f t="shared" si="165"/>
        <v>0.13320000000000001</v>
      </c>
      <c r="Y126" s="42">
        <v>0.4</v>
      </c>
      <c r="Z126" s="35">
        <v>0.33300000000000002</v>
      </c>
      <c r="AA126" s="43">
        <f t="shared" si="166"/>
        <v>0.13320000000000001</v>
      </c>
    </row>
    <row r="127" spans="1:27" x14ac:dyDescent="0.3">
      <c r="B127" s="72"/>
      <c r="C127" s="43" t="str">
        <v>B-E</v>
      </c>
      <c r="D127" s="42">
        <v>0.3</v>
      </c>
      <c r="E127" s="35">
        <v>0.33300000000000002</v>
      </c>
      <c r="F127" s="43">
        <f t="shared" si="159"/>
        <v>9.9900000000000003E-2</v>
      </c>
      <c r="G127" s="42">
        <v>0.3</v>
      </c>
      <c r="H127" s="35">
        <v>0.33300000000000002</v>
      </c>
      <c r="I127" s="43">
        <f t="shared" si="160"/>
        <v>9.9900000000000003E-2</v>
      </c>
      <c r="J127" s="42">
        <v>0.3</v>
      </c>
      <c r="K127" s="35">
        <v>0.33300000000000002</v>
      </c>
      <c r="L127" s="43">
        <f t="shared" si="161"/>
        <v>9.9900000000000003E-2</v>
      </c>
      <c r="M127" s="42">
        <v>0.3</v>
      </c>
      <c r="N127" s="35">
        <v>4</v>
      </c>
      <c r="O127" s="43">
        <f t="shared" si="162"/>
        <v>1.2</v>
      </c>
      <c r="P127" s="42">
        <v>0.3</v>
      </c>
      <c r="Q127" s="35">
        <v>4</v>
      </c>
      <c r="R127" s="43">
        <f t="shared" si="163"/>
        <v>1.2</v>
      </c>
      <c r="S127" s="42">
        <v>0.3</v>
      </c>
      <c r="T127" s="35">
        <v>4</v>
      </c>
      <c r="U127" s="43">
        <f t="shared" si="164"/>
        <v>1.2</v>
      </c>
      <c r="V127" s="42">
        <v>0.3</v>
      </c>
      <c r="W127" s="35">
        <v>4</v>
      </c>
      <c r="X127" s="43">
        <f t="shared" si="165"/>
        <v>1.2</v>
      </c>
      <c r="Y127" s="42">
        <v>0.3</v>
      </c>
      <c r="Z127" s="35">
        <v>4</v>
      </c>
      <c r="AA127" s="43">
        <f t="shared" si="166"/>
        <v>1.2</v>
      </c>
    </row>
    <row r="128" spans="1:27" x14ac:dyDescent="0.3">
      <c r="B128" s="72"/>
      <c r="C128" s="43" t="str">
        <v>E-F</v>
      </c>
      <c r="D128" s="42">
        <v>0.3</v>
      </c>
      <c r="E128" s="35">
        <v>0.33300000000000002</v>
      </c>
      <c r="F128" s="43">
        <f t="shared" si="159"/>
        <v>9.9900000000000003E-2</v>
      </c>
      <c r="G128" s="42">
        <v>0.3</v>
      </c>
      <c r="H128" s="35">
        <v>0.33300000000000002</v>
      </c>
      <c r="I128" s="43">
        <f t="shared" si="160"/>
        <v>9.9900000000000003E-2</v>
      </c>
      <c r="J128" s="42">
        <v>0.3</v>
      </c>
      <c r="K128" s="35">
        <v>0.33300000000000002</v>
      </c>
      <c r="L128" s="43">
        <f t="shared" si="161"/>
        <v>9.9900000000000003E-2</v>
      </c>
      <c r="M128" s="42">
        <v>0.3</v>
      </c>
      <c r="N128" s="35">
        <v>0.33300000000000002</v>
      </c>
      <c r="O128" s="43">
        <f t="shared" si="162"/>
        <v>9.9900000000000003E-2</v>
      </c>
      <c r="P128" s="42">
        <v>0.3</v>
      </c>
      <c r="Q128" s="35">
        <v>3</v>
      </c>
      <c r="R128" s="43">
        <f t="shared" si="163"/>
        <v>0.89999999999999991</v>
      </c>
      <c r="S128" s="42">
        <v>0.3</v>
      </c>
      <c r="T128" s="35">
        <v>3</v>
      </c>
      <c r="U128" s="43">
        <f t="shared" si="164"/>
        <v>0.89999999999999991</v>
      </c>
      <c r="V128" s="42">
        <v>0.3</v>
      </c>
      <c r="W128" s="35">
        <v>3</v>
      </c>
      <c r="X128" s="43">
        <f t="shared" si="165"/>
        <v>0.89999999999999991</v>
      </c>
      <c r="Y128" s="42">
        <v>0.3</v>
      </c>
      <c r="Z128" s="35">
        <v>3</v>
      </c>
      <c r="AA128" s="43">
        <f t="shared" si="166"/>
        <v>0.89999999999999991</v>
      </c>
    </row>
    <row r="129" spans="2:27" x14ac:dyDescent="0.3">
      <c r="B129" s="72"/>
      <c r="C129" s="43" t="str">
        <v>F-G</v>
      </c>
      <c r="D129" s="42">
        <v>0.6</v>
      </c>
      <c r="E129" s="35">
        <v>0.33300000000000002</v>
      </c>
      <c r="F129" s="43">
        <f t="shared" si="159"/>
        <v>0.19980000000000001</v>
      </c>
      <c r="G129" s="42">
        <v>0.6</v>
      </c>
      <c r="H129" s="35">
        <v>0.33300000000000002</v>
      </c>
      <c r="I129" s="43">
        <f t="shared" si="160"/>
        <v>0.19980000000000001</v>
      </c>
      <c r="J129" s="42">
        <v>0.6</v>
      </c>
      <c r="K129" s="35">
        <v>0.33300000000000002</v>
      </c>
      <c r="L129" s="43">
        <f t="shared" si="161"/>
        <v>0.19980000000000001</v>
      </c>
      <c r="M129" s="42">
        <v>0.6</v>
      </c>
      <c r="N129" s="35">
        <v>0.33300000000000002</v>
      </c>
      <c r="O129" s="43">
        <f t="shared" si="162"/>
        <v>0.19980000000000001</v>
      </c>
      <c r="P129" s="42">
        <v>0.6</v>
      </c>
      <c r="Q129" s="35">
        <v>2.5</v>
      </c>
      <c r="R129" s="43">
        <f t="shared" si="163"/>
        <v>1.5</v>
      </c>
      <c r="S129" s="42">
        <v>0.6</v>
      </c>
      <c r="T129" s="35">
        <v>0.33300000000000002</v>
      </c>
      <c r="U129" s="43">
        <f t="shared" si="164"/>
        <v>0.19980000000000001</v>
      </c>
      <c r="V129" s="42">
        <v>0.6</v>
      </c>
      <c r="W129" s="35">
        <v>0.33300000000000002</v>
      </c>
      <c r="X129" s="43">
        <f t="shared" si="165"/>
        <v>0.19980000000000001</v>
      </c>
      <c r="Y129" s="42">
        <v>0.6</v>
      </c>
      <c r="Z129" s="35">
        <v>0.33300000000000002</v>
      </c>
      <c r="AA129" s="43">
        <f t="shared" si="166"/>
        <v>0.19980000000000001</v>
      </c>
    </row>
    <row r="130" spans="2:27" x14ac:dyDescent="0.3">
      <c r="B130" s="72"/>
      <c r="C130" s="43" t="str">
        <v>F-H</v>
      </c>
      <c r="D130" s="42">
        <v>0.5</v>
      </c>
      <c r="E130" s="35">
        <v>0.33300000000000002</v>
      </c>
      <c r="F130" s="43">
        <f t="shared" si="159"/>
        <v>0.16650000000000001</v>
      </c>
      <c r="G130" s="42">
        <v>0.5</v>
      </c>
      <c r="H130" s="35">
        <v>0.33300000000000002</v>
      </c>
      <c r="I130" s="43">
        <f t="shared" si="160"/>
        <v>0.16650000000000001</v>
      </c>
      <c r="J130" s="42">
        <v>0.5</v>
      </c>
      <c r="K130" s="35">
        <v>0.33300000000000002</v>
      </c>
      <c r="L130" s="43">
        <f t="shared" si="161"/>
        <v>0.16650000000000001</v>
      </c>
      <c r="M130" s="42">
        <v>0.5</v>
      </c>
      <c r="N130" s="35">
        <v>0.33300000000000002</v>
      </c>
      <c r="O130" s="43">
        <f t="shared" si="162"/>
        <v>0.16650000000000001</v>
      </c>
      <c r="P130" s="42">
        <v>0.5</v>
      </c>
      <c r="Q130" s="35">
        <v>0.33300000000000002</v>
      </c>
      <c r="R130" s="43">
        <f t="shared" si="163"/>
        <v>0.16650000000000001</v>
      </c>
      <c r="S130" s="42">
        <v>0.5</v>
      </c>
      <c r="T130" s="35">
        <v>3</v>
      </c>
      <c r="U130" s="43">
        <f t="shared" si="164"/>
        <v>1.5</v>
      </c>
      <c r="V130" s="42">
        <v>0.5</v>
      </c>
      <c r="W130" s="35">
        <v>3</v>
      </c>
      <c r="X130" s="43">
        <f t="shared" si="165"/>
        <v>1.5</v>
      </c>
      <c r="Y130" s="42">
        <v>0.5</v>
      </c>
      <c r="Z130" s="35">
        <v>3</v>
      </c>
      <c r="AA130" s="43">
        <f t="shared" si="166"/>
        <v>1.5</v>
      </c>
    </row>
    <row r="131" spans="2:27" x14ac:dyDescent="0.3">
      <c r="B131" s="72"/>
      <c r="C131" s="43" t="str">
        <v>H-I</v>
      </c>
      <c r="D131" s="42">
        <v>0.3</v>
      </c>
      <c r="E131" s="35">
        <v>0.33300000000000002</v>
      </c>
      <c r="F131" s="43">
        <f t="shared" si="159"/>
        <v>9.9900000000000003E-2</v>
      </c>
      <c r="G131" s="42">
        <v>0.3</v>
      </c>
      <c r="H131" s="35">
        <v>0.33300000000000002</v>
      </c>
      <c r="I131" s="43">
        <f t="shared" si="160"/>
        <v>9.9900000000000003E-2</v>
      </c>
      <c r="J131" s="42">
        <v>0.3</v>
      </c>
      <c r="K131" s="35">
        <v>0.33300000000000002</v>
      </c>
      <c r="L131" s="43">
        <f t="shared" si="161"/>
        <v>9.9900000000000003E-2</v>
      </c>
      <c r="M131" s="42">
        <v>0.3</v>
      </c>
      <c r="N131" s="35">
        <v>0.33300000000000002</v>
      </c>
      <c r="O131" s="43">
        <f t="shared" si="162"/>
        <v>9.9900000000000003E-2</v>
      </c>
      <c r="P131" s="42">
        <v>0.3</v>
      </c>
      <c r="Q131" s="35">
        <v>0.33300000000000002</v>
      </c>
      <c r="R131" s="43">
        <f t="shared" si="163"/>
        <v>9.9900000000000003E-2</v>
      </c>
      <c r="S131" s="42">
        <v>0.3</v>
      </c>
      <c r="T131" s="35">
        <v>0.33300000000000002</v>
      </c>
      <c r="U131" s="43">
        <f t="shared" si="164"/>
        <v>9.9900000000000003E-2</v>
      </c>
      <c r="V131" s="42">
        <v>0.3</v>
      </c>
      <c r="W131" s="35">
        <v>3</v>
      </c>
      <c r="X131" s="43">
        <f t="shared" si="165"/>
        <v>0.89999999999999991</v>
      </c>
      <c r="Y131" s="42">
        <v>0.3</v>
      </c>
      <c r="Z131" s="35">
        <v>3</v>
      </c>
      <c r="AA131" s="43">
        <f t="shared" si="166"/>
        <v>0.89999999999999991</v>
      </c>
    </row>
    <row r="132" spans="2:27" x14ac:dyDescent="0.3">
      <c r="B132" s="72"/>
      <c r="C132" s="43" t="str">
        <v>I-J</v>
      </c>
      <c r="D132" s="42">
        <v>0.2</v>
      </c>
      <c r="E132" s="35">
        <v>0.33300000000000002</v>
      </c>
      <c r="F132" s="43">
        <f t="shared" si="159"/>
        <v>6.6600000000000006E-2</v>
      </c>
      <c r="G132" s="42">
        <v>0.2</v>
      </c>
      <c r="H132" s="35">
        <v>0.33300000000000002</v>
      </c>
      <c r="I132" s="43">
        <f t="shared" si="160"/>
        <v>6.6600000000000006E-2</v>
      </c>
      <c r="J132" s="42">
        <v>0.2</v>
      </c>
      <c r="K132" s="35">
        <v>0.33300000000000002</v>
      </c>
      <c r="L132" s="43">
        <f t="shared" si="161"/>
        <v>6.6600000000000006E-2</v>
      </c>
      <c r="M132" s="42">
        <v>0.2</v>
      </c>
      <c r="N132" s="35">
        <v>0.33300000000000002</v>
      </c>
      <c r="O132" s="43">
        <f t="shared" si="162"/>
        <v>6.6600000000000006E-2</v>
      </c>
      <c r="P132" s="42">
        <v>0.2</v>
      </c>
      <c r="Q132" s="35">
        <v>0.33300000000000002</v>
      </c>
      <c r="R132" s="43">
        <f t="shared" si="163"/>
        <v>6.6600000000000006E-2</v>
      </c>
      <c r="S132" s="42">
        <v>0.2</v>
      </c>
      <c r="T132" s="35">
        <v>0.33300000000000002</v>
      </c>
      <c r="U132" s="43">
        <f t="shared" si="164"/>
        <v>6.6600000000000006E-2</v>
      </c>
      <c r="V132" s="42">
        <v>0.2</v>
      </c>
      <c r="W132" s="35">
        <v>1</v>
      </c>
      <c r="X132" s="43">
        <f t="shared" si="165"/>
        <v>0.2</v>
      </c>
      <c r="Y132" s="42">
        <v>0.2</v>
      </c>
      <c r="Z132" s="35">
        <v>1</v>
      </c>
      <c r="AA132" s="43">
        <f t="shared" si="166"/>
        <v>0.2</v>
      </c>
    </row>
    <row r="133" spans="2:27" x14ac:dyDescent="0.3">
      <c r="B133" s="73"/>
      <c r="C133" s="44" t="str">
        <v>I-K</v>
      </c>
      <c r="D133" s="45">
        <v>0.3</v>
      </c>
      <c r="E133" s="46">
        <v>0.33300000000000002</v>
      </c>
      <c r="F133" s="44">
        <f>D133*E133</f>
        <v>9.9900000000000003E-2</v>
      </c>
      <c r="G133" s="45">
        <v>0.3</v>
      </c>
      <c r="H133" s="46">
        <v>0.33300000000000002</v>
      </c>
      <c r="I133" s="44">
        <f>G133*H133</f>
        <v>9.9900000000000003E-2</v>
      </c>
      <c r="J133" s="45">
        <v>0.3</v>
      </c>
      <c r="K133" s="46">
        <v>0.33300000000000002</v>
      </c>
      <c r="L133" s="44">
        <f>J133*K133</f>
        <v>9.9900000000000003E-2</v>
      </c>
      <c r="M133" s="45">
        <v>0.3</v>
      </c>
      <c r="N133" s="46">
        <v>0.33300000000000002</v>
      </c>
      <c r="O133" s="44">
        <f>M133*N133</f>
        <v>9.9900000000000003E-2</v>
      </c>
      <c r="P133" s="45">
        <v>0.3</v>
      </c>
      <c r="Q133" s="46">
        <v>0.33300000000000002</v>
      </c>
      <c r="R133" s="44">
        <f>P133*Q133</f>
        <v>9.9900000000000003E-2</v>
      </c>
      <c r="S133" s="45">
        <v>0.3</v>
      </c>
      <c r="T133" s="46">
        <v>0.33300000000000002</v>
      </c>
      <c r="U133" s="44">
        <f>S133*T133</f>
        <v>9.9900000000000003E-2</v>
      </c>
      <c r="V133" s="45">
        <v>0.3</v>
      </c>
      <c r="W133" s="46">
        <v>0.33300000000000002</v>
      </c>
      <c r="X133" s="44">
        <f>V133*W133</f>
        <v>9.9900000000000003E-2</v>
      </c>
      <c r="Y133" s="45">
        <v>0.3</v>
      </c>
      <c r="Z133" s="46">
        <v>2.5</v>
      </c>
      <c r="AA133" s="44">
        <f>Y133*Z133</f>
        <v>0.75</v>
      </c>
    </row>
    <row r="134" spans="2:27" x14ac:dyDescent="0.3">
      <c r="C134" s="35" t="s">
        <v>63</v>
      </c>
      <c r="D134" s="35">
        <f>SUM(_xlfn.ANCHORARRAY(D124))</f>
        <v>3.9</v>
      </c>
      <c r="E134" s="35">
        <f>F134/D134</f>
        <v>0.66638461538461546</v>
      </c>
      <c r="F134" s="35">
        <f>SUM(F124:F133)</f>
        <v>2.5989000000000004</v>
      </c>
      <c r="G134" s="35">
        <f t="shared" ref="G134" si="167">SUM(_xlfn.ANCHORARRAY(G124))</f>
        <v>3.9</v>
      </c>
      <c r="H134" s="35">
        <f t="shared" ref="H134" si="168">I134/G134</f>
        <v>0.83735897435897433</v>
      </c>
      <c r="I134" s="35">
        <f>SUM(I124:I133)</f>
        <v>3.2656999999999998</v>
      </c>
      <c r="J134" s="35">
        <f t="shared" ref="J134" si="169">SUM(_xlfn.ANCHORARRAY(J124))</f>
        <v>3.9</v>
      </c>
      <c r="K134" s="35">
        <f t="shared" ref="K134" si="170">L134/J134</f>
        <v>1.0083333333333333</v>
      </c>
      <c r="L134" s="35">
        <f>SUM(L124:L133)</f>
        <v>3.9324999999999997</v>
      </c>
      <c r="M134" s="35">
        <f t="shared" ref="M134" si="171">SUM(_xlfn.ANCHORARRAY(M124))</f>
        <v>3.9</v>
      </c>
      <c r="N134" s="35">
        <f t="shared" ref="N134" si="172">O134/M134</f>
        <v>0.94846153846153858</v>
      </c>
      <c r="O134" s="35">
        <f>SUM(O124:O133)</f>
        <v>3.6990000000000003</v>
      </c>
      <c r="P134" s="35">
        <f t="shared" ref="P134" si="173">SUM(_xlfn.ANCHORARRAY(P124))</f>
        <v>3.9</v>
      </c>
      <c r="Q134" s="35">
        <f t="shared" ref="Q134" si="174">R134/P134</f>
        <v>1.4870000000000001</v>
      </c>
      <c r="R134" s="35">
        <f>SUM(R124:R133)</f>
        <v>5.7993000000000006</v>
      </c>
      <c r="S134" s="35">
        <f t="shared" ref="S134" si="175">SUM(_xlfn.ANCHORARRAY(S124))</f>
        <v>3.9</v>
      </c>
      <c r="T134" s="35">
        <f t="shared" ref="T134" si="176">U134/S134</f>
        <v>1.4955384615384617</v>
      </c>
      <c r="U134" s="35">
        <f>SUM(U124:U133)</f>
        <v>5.8326000000000002</v>
      </c>
      <c r="V134" s="35">
        <f t="shared" ref="V134" si="177">SUM(_xlfn.ANCHORARRAY(V124))</f>
        <v>3.9</v>
      </c>
      <c r="W134" s="35">
        <f t="shared" ref="W134" si="178">X134/V134</f>
        <v>1.7348974358974361</v>
      </c>
      <c r="X134" s="35">
        <f>SUM(X124:X133)</f>
        <v>6.7661000000000007</v>
      </c>
      <c r="Y134" s="35">
        <f t="shared" ref="Y134" si="179">SUM(_xlfn.ANCHORARRAY(Y124))</f>
        <v>3.9</v>
      </c>
      <c r="Z134" s="35">
        <f t="shared" ref="Z134" si="180">AA134/Y134</f>
        <v>1.9015897435897438</v>
      </c>
      <c r="AA134" s="35">
        <f>SUM(AA124:AA133)</f>
        <v>7.4162000000000008</v>
      </c>
    </row>
  </sheetData>
  <mergeCells count="90">
    <mergeCell ref="B123:C123"/>
    <mergeCell ref="B124:B133"/>
    <mergeCell ref="V107:X107"/>
    <mergeCell ref="Y107:AA107"/>
    <mergeCell ref="B108:C108"/>
    <mergeCell ref="B109:B118"/>
    <mergeCell ref="D122:F122"/>
    <mergeCell ref="G122:I122"/>
    <mergeCell ref="J122:L122"/>
    <mergeCell ref="M122:O122"/>
    <mergeCell ref="P122:R122"/>
    <mergeCell ref="S122:U122"/>
    <mergeCell ref="M107:O107"/>
    <mergeCell ref="P107:R107"/>
    <mergeCell ref="S107:U107"/>
    <mergeCell ref="V122:X122"/>
    <mergeCell ref="Y122:AA122"/>
    <mergeCell ref="B93:C93"/>
    <mergeCell ref="B94:B103"/>
    <mergeCell ref="D107:F107"/>
    <mergeCell ref="G107:I107"/>
    <mergeCell ref="J107:L107"/>
    <mergeCell ref="M92:O92"/>
    <mergeCell ref="P92:R92"/>
    <mergeCell ref="S92:U92"/>
    <mergeCell ref="V92:X92"/>
    <mergeCell ref="Y92:AA92"/>
    <mergeCell ref="B78:C78"/>
    <mergeCell ref="B79:B88"/>
    <mergeCell ref="D92:F92"/>
    <mergeCell ref="G92:I92"/>
    <mergeCell ref="J92:L92"/>
    <mergeCell ref="M77:O77"/>
    <mergeCell ref="P77:R77"/>
    <mergeCell ref="S77:U77"/>
    <mergeCell ref="V77:X77"/>
    <mergeCell ref="Y77:AA77"/>
    <mergeCell ref="B63:C63"/>
    <mergeCell ref="B64:B73"/>
    <mergeCell ref="D77:F77"/>
    <mergeCell ref="G77:I77"/>
    <mergeCell ref="J77:L77"/>
    <mergeCell ref="M62:O62"/>
    <mergeCell ref="P62:R62"/>
    <mergeCell ref="S62:U62"/>
    <mergeCell ref="V62:X62"/>
    <mergeCell ref="Y62:AA62"/>
    <mergeCell ref="B48:C48"/>
    <mergeCell ref="B49:B58"/>
    <mergeCell ref="D62:F62"/>
    <mergeCell ref="G62:I62"/>
    <mergeCell ref="J62:L62"/>
    <mergeCell ref="M47:O47"/>
    <mergeCell ref="P47:R47"/>
    <mergeCell ref="S47:U47"/>
    <mergeCell ref="V47:X47"/>
    <mergeCell ref="Y47:AA47"/>
    <mergeCell ref="B33:C33"/>
    <mergeCell ref="B34:B43"/>
    <mergeCell ref="D47:F47"/>
    <mergeCell ref="G47:I47"/>
    <mergeCell ref="J47:L47"/>
    <mergeCell ref="V17:X17"/>
    <mergeCell ref="Y17:AA17"/>
    <mergeCell ref="B18:C18"/>
    <mergeCell ref="B19:B28"/>
    <mergeCell ref="D32:F32"/>
    <mergeCell ref="G32:I32"/>
    <mergeCell ref="J32:L32"/>
    <mergeCell ref="M32:O32"/>
    <mergeCell ref="P32:R32"/>
    <mergeCell ref="S32:U32"/>
    <mergeCell ref="V32:X32"/>
    <mergeCell ref="Y32:AA32"/>
    <mergeCell ref="V2:X2"/>
    <mergeCell ref="Y2:AA2"/>
    <mergeCell ref="B3:C3"/>
    <mergeCell ref="B4:B13"/>
    <mergeCell ref="D17:F17"/>
    <mergeCell ref="G17:I17"/>
    <mergeCell ref="J17:L17"/>
    <mergeCell ref="M17:O17"/>
    <mergeCell ref="P17:R17"/>
    <mergeCell ref="S17:U17"/>
    <mergeCell ref="D2:F2"/>
    <mergeCell ref="G2:I2"/>
    <mergeCell ref="J2:L2"/>
    <mergeCell ref="M2:O2"/>
    <mergeCell ref="P2:R2"/>
    <mergeCell ref="S2:U2"/>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23"/>
  <sheetViews>
    <sheetView zoomScale="63" zoomScaleNormal="63" workbookViewId="0">
      <selection activeCell="H41" sqref="H41"/>
    </sheetView>
  </sheetViews>
  <sheetFormatPr defaultRowHeight="14.4" x14ac:dyDescent="0.3"/>
  <cols>
    <col min="1" max="1" width="2.5546875" customWidth="1"/>
    <col min="2" max="2" width="11" bestFit="1" customWidth="1"/>
    <col min="3" max="3" width="15.109375" bestFit="1" customWidth="1"/>
    <col min="4" max="4" width="12.6640625" bestFit="1" customWidth="1"/>
    <col min="5" max="5" width="18.21875" bestFit="1" customWidth="1"/>
    <col min="6" max="6" width="15.109375" bestFit="1" customWidth="1"/>
    <col min="7" max="7" width="9.109375" bestFit="1" customWidth="1"/>
    <col min="8" max="8" width="11.77734375" bestFit="1" customWidth="1"/>
    <col min="9" max="9" width="15.109375" bestFit="1" customWidth="1"/>
    <col min="10" max="10" width="14.5546875" bestFit="1" customWidth="1"/>
    <col min="11" max="11" width="11.21875" bestFit="1" customWidth="1"/>
    <col min="12" max="12" width="15.109375" customWidth="1"/>
    <col min="13" max="13" width="12.109375" bestFit="1" customWidth="1"/>
    <col min="14" max="14" width="7.109375" bestFit="1" customWidth="1"/>
    <col min="15" max="15" width="15.109375" bestFit="1" customWidth="1"/>
    <col min="17" max="17" width="7.109375" bestFit="1" customWidth="1"/>
    <col min="18" max="18" width="15.109375" bestFit="1" customWidth="1"/>
    <col min="20" max="20" width="7.109375" bestFit="1" customWidth="1"/>
    <col min="21" max="21" width="15.109375" bestFit="1" customWidth="1"/>
    <col min="23" max="23" width="7.109375" bestFit="1" customWidth="1"/>
    <col min="24" max="24" width="15.109375" bestFit="1" customWidth="1"/>
    <col min="26" max="26" width="7.109375" bestFit="1" customWidth="1"/>
    <col min="27" max="27" width="15.109375" bestFit="1" customWidth="1"/>
  </cols>
  <sheetData>
    <row r="1" spans="2:27" ht="40.200000000000003" thickBot="1" x14ac:dyDescent="0.35">
      <c r="B1" s="29" t="s">
        <v>22</v>
      </c>
      <c r="C1" s="32" t="s">
        <v>45</v>
      </c>
      <c r="D1" s="27" t="s">
        <v>46</v>
      </c>
      <c r="E1" s="27" t="s">
        <v>47</v>
      </c>
      <c r="F1" s="27" t="s">
        <v>36</v>
      </c>
      <c r="G1" s="27" t="s">
        <v>37</v>
      </c>
      <c r="H1" s="27" t="s">
        <v>48</v>
      </c>
      <c r="I1" s="28" t="s">
        <v>49</v>
      </c>
      <c r="J1" s="27" t="s">
        <v>82</v>
      </c>
      <c r="K1" s="27" t="s">
        <v>83</v>
      </c>
      <c r="L1" s="28" t="s">
        <v>84</v>
      </c>
    </row>
    <row r="2" spans="2:27" x14ac:dyDescent="0.3">
      <c r="B2" s="33" t="s">
        <v>24</v>
      </c>
      <c r="C2" s="47">
        <f>('RELIABILITY INDICES'!D14*SUM('DATA AND SCENARIO'!B2:B9))/SUM('DATA AND SCENARIO'!B2:B9)</f>
        <v>3.9</v>
      </c>
      <c r="D2" s="25">
        <f>(('DATA AND SCENARIO'!B2*C16)+('DATA AND SCENARIO'!B3*C17)+('DATA AND SCENARIO'!B4*C18)+('DATA AND SCENARIO'!B5*C19)+('DATA AND SCENARIO'!B6*C20)+('DATA AND SCENARIO'!B7*C21)+('DATA AND SCENARIO'!B8*C22)+('DATA AND SCENARIO'!B9*C23))/SUM('DATA AND SCENARIO'!B2:B9)</f>
        <v>10.049999999999999</v>
      </c>
      <c r="E2" s="25">
        <f>D2/C2</f>
        <v>2.5769230769230766</v>
      </c>
      <c r="F2" s="25">
        <f>D2/8760</f>
        <v>1.1472602739726026E-3</v>
      </c>
      <c r="G2" s="25">
        <f>1-F2</f>
        <v>0.99885273972602739</v>
      </c>
      <c r="H2" s="25">
        <f>(('DATA AND SCENARIO'!$C$2*C16)+('DATA AND SCENARIO'!$C$3*C17)+('DATA AND SCENARIO'!$C$4*C18)+('DATA AND SCENARIO'!$C$5*C19)+('DATA AND SCENARIO'!$C$6*C20)+('DATA AND SCENARIO'!$C$7*C21)+('DATA AND SCENARIO'!$C$8*C22)+('DATA AND SCENARIO'!$C$9*C23))/SUM('DATA AND SCENARIO'!$B$2:$B$9)</f>
        <v>5.0674138484432891</v>
      </c>
      <c r="I2" s="26">
        <f>H2*SUM('DATA AND SCENARIO'!$B$2:$B$9)</f>
        <v>520996.0199999999</v>
      </c>
      <c r="J2" s="61">
        <f t="shared" ref="J2:J7" si="0">$I$2-I2</f>
        <v>0</v>
      </c>
      <c r="K2" s="63">
        <v>0</v>
      </c>
      <c r="L2" s="62">
        <v>0</v>
      </c>
    </row>
    <row r="3" spans="2:27" x14ac:dyDescent="0.3">
      <c r="B3" s="30" t="s">
        <v>38</v>
      </c>
      <c r="C3" s="48">
        <f>('RELIABILITY INDICES'!D14*SUM('DATA AND SCENARIO'!B2:B9))/SUM('DATA AND SCENARIO'!B2:B9)</f>
        <v>3.9</v>
      </c>
      <c r="D3" s="25">
        <f>(('DATA AND SCENARIO'!$B$2*F16)+('DATA AND SCENARIO'!$B$3*F17)+('DATA AND SCENARIO'!$B$4*F18)+('DATA AND SCENARIO'!$B$5*F19)+('DATA AND SCENARIO'!$B$6*F20)+('DATA AND SCENARIO'!$B$7*F21)+('DATA AND SCENARIO'!$B$8*F22)+('DATA AND SCENARIO'!$B$9*F23))/SUM('DATA AND SCENARIO'!$B$2:$B$9)</f>
        <v>8.8188718663982186</v>
      </c>
      <c r="E3" s="25">
        <f>D3/C3</f>
        <v>2.261249196512364</v>
      </c>
      <c r="F3" s="25">
        <f>D3/8760</f>
        <v>1.0067205326938606E-3</v>
      </c>
      <c r="G3" s="25">
        <f t="shared" ref="G3:G10" si="1">1-F3</f>
        <v>0.99899327946730609</v>
      </c>
      <c r="H3" s="25">
        <f>(('DATA AND SCENARIO'!$C$2*F16)+('DATA AND SCENARIO'!$C$3*F17)+('DATA AND SCENARIO'!$C$4*F18)+('DATA AND SCENARIO'!$C$5*F19)+('DATA AND SCENARIO'!$C$6*F20)+('DATA AND SCENARIO'!$C$7*F21)+('DATA AND SCENARIO'!$C$8*F22)+('DATA AND SCENARIO'!$C$9*F23))/SUM('DATA AND SCENARIO'!$B$2:$B$9)</f>
        <v>4.4619324944510916</v>
      </c>
      <c r="I3" s="26">
        <f>H3*SUM('DATA AND SCENARIO'!$B$2:$B$9)</f>
        <v>458744.66555200011</v>
      </c>
      <c r="J3" s="61">
        <f t="shared" si="0"/>
        <v>62251.354447999795</v>
      </c>
      <c r="K3" s="63">
        <v>1</v>
      </c>
      <c r="L3" s="62">
        <f t="shared" ref="L3:L10" si="2">J3/K3</f>
        <v>62251.354447999795</v>
      </c>
    </row>
    <row r="4" spans="2:27" x14ac:dyDescent="0.3">
      <c r="B4" s="30" t="s">
        <v>27</v>
      </c>
      <c r="C4" s="48">
        <f>('RELIABILITY INDICES'!D14*SUM('DATA AND SCENARIO'!B2:B9))/SUM('DATA AND SCENARIO'!B2:B9)</f>
        <v>3.9</v>
      </c>
      <c r="D4" s="25">
        <f>(('DATA AND SCENARIO'!$B$2*I16)+('DATA AND SCENARIO'!$B$3*I17)+('DATA AND SCENARIO'!$B$4*I18)+('DATA AND SCENARIO'!$B$5*I19)+('DATA AND SCENARIO'!$B$6*I20)+('DATA AND SCENARIO'!$B$7*I21)+('DATA AND SCENARIO'!$B$8*I22)+('DATA AND SCENARIO'!$B$9*I23))/SUM('DATA AND SCENARIO'!$B$2:$B$9)</f>
        <v>8.818865380837055</v>
      </c>
      <c r="E4" s="25">
        <f>D4/C4</f>
        <v>2.2612475335479627</v>
      </c>
      <c r="F4" s="25">
        <f>D4/8760</f>
        <v>1.0067197923329971E-3</v>
      </c>
      <c r="G4" s="25">
        <f t="shared" si="1"/>
        <v>0.99899328020766698</v>
      </c>
      <c r="H4" s="25">
        <f>(('DATA AND SCENARIO'!$C$2*I16)+('DATA AND SCENARIO'!$C$3*I17)+('DATA AND SCENARIO'!$C$4*I18)+('DATA AND SCENARIO'!$C$5*I19)+('DATA AND SCENARIO'!$C$6*I20)+('DATA AND SCENARIO'!$C$7*I21)+('DATA AND SCENARIO'!$C$8*I22)+('DATA AND SCENARIO'!$C$9*I23))/SUM('DATA AND SCENARIO'!$B$2:$B$9)</f>
        <v>4.4451649840389837</v>
      </c>
      <c r="I4" s="26">
        <f>H4*SUM('DATA AND SCENARIO'!$B$2:$B$9)</f>
        <v>457020.74750400003</v>
      </c>
      <c r="J4" s="61">
        <f t="shared" si="0"/>
        <v>63975.272495999874</v>
      </c>
      <c r="K4" s="63">
        <v>2</v>
      </c>
      <c r="L4" s="62">
        <f>J4/K4</f>
        <v>31987.636247999937</v>
      </c>
    </row>
    <row r="5" spans="2:27" x14ac:dyDescent="0.3">
      <c r="B5" s="30" t="s">
        <v>39</v>
      </c>
      <c r="C5" s="48">
        <f>('RELIABILITY INDICES'!D59*SUM('DATA AND SCENARIO'!B2:B9))/SUM('DATA AND SCENARIO'!B2:B9)</f>
        <v>3.9</v>
      </c>
      <c r="D5" s="25">
        <f>(('DATA AND SCENARIO'!$B$2*L16)+('DATA AND SCENARIO'!$B$3*L17)+('DATA AND SCENARIO'!$B$4*L18)+('DATA AND SCENARIO'!$B$5*L19)+('DATA AND SCENARIO'!$B$6*L20)+('DATA AND SCENARIO'!$B$7*L21)+('DATA AND SCENARIO'!$B$8*L22)+('DATA AND SCENARIO'!$B$9*L23))/SUM('DATA AND SCENARIO'!$B$2:$B$9)</f>
        <v>6.2748902755488114</v>
      </c>
      <c r="E5" s="25">
        <f t="shared" ref="E5:E10" si="3">D5/C5</f>
        <v>1.6089462244996953</v>
      </c>
      <c r="F5" s="25">
        <f t="shared" ref="F5:F7" si="4">D5/8760</f>
        <v>7.1631167529096016E-4</v>
      </c>
      <c r="G5" s="25">
        <f t="shared" si="1"/>
        <v>0.99928368832470904</v>
      </c>
      <c r="H5" s="25">
        <f>(('DATA AND SCENARIO'!$C$2*L16)+('DATA AND SCENARIO'!$C$3*L17)+('DATA AND SCENARIO'!$C$4*L18)+('DATA AND SCENARIO'!$C$5*L19)+('DATA AND SCENARIO'!$C$6*L20)+('DATA AND SCENARIO'!$C$7*L21)+('DATA AND SCENARIO'!$C$8*L22)+('DATA AND SCENARIO'!$C$9*L23))/SUM('DATA AND SCENARIO'!$B$2:$B$9)</f>
        <v>3.0024356757316686</v>
      </c>
      <c r="I5" s="26">
        <f>H5*SUM('DATA AND SCENARIO'!$B$2:$B$9)</f>
        <v>308689.41912900005</v>
      </c>
      <c r="J5" s="61">
        <f t="shared" si="0"/>
        <v>212306.60087099986</v>
      </c>
      <c r="K5" s="63">
        <v>3</v>
      </c>
      <c r="L5" s="62">
        <f t="shared" si="2"/>
        <v>70768.866956999947</v>
      </c>
    </row>
    <row r="6" spans="2:27" x14ac:dyDescent="0.3">
      <c r="B6" s="30" t="s">
        <v>40</v>
      </c>
      <c r="C6" s="48">
        <f>('RELIABILITY INDICES'!D74*SUM('DATA AND SCENARIO'!B2:B9))/SUM('DATA AND SCENARIO'!B2:B9)</f>
        <v>3.9</v>
      </c>
      <c r="D6" s="25">
        <f>(('DATA AND SCENARIO'!$B$2*O16)+('DATA AND SCENARIO'!$B$3*O17)+('DATA AND SCENARIO'!$B$4*O18)+('DATA AND SCENARIO'!$B$5*O19)+('DATA AND SCENARIO'!$B$6*O20)+('DATA AND SCENARIO'!$B$7*O21)+('DATA AND SCENARIO'!$B$8*O22)+('DATA AND SCENARIO'!$B$9*O23))/SUM('DATA AND SCENARIO'!$B$2:$B$9)</f>
        <v>5.8480747911256357</v>
      </c>
      <c r="E6" s="25">
        <f t="shared" si="3"/>
        <v>1.4995063566988809</v>
      </c>
      <c r="F6" s="25">
        <f t="shared" si="4"/>
        <v>6.6758844647552917E-4</v>
      </c>
      <c r="G6" s="25">
        <f t="shared" si="1"/>
        <v>0.99933241155352448</v>
      </c>
      <c r="H6" s="25">
        <f>(('DATA AND SCENARIO'!$C$2*O16)+('DATA AND SCENARIO'!$C$3*O17)+('DATA AND SCENARIO'!$C$4*O18)+('DATA AND SCENARIO'!$C$5*O19)+('DATA AND SCENARIO'!$C$6*O20)+('DATA AND SCENARIO'!$C$7*O21)+('DATA AND SCENARIO'!$C$8*O22)+('DATA AND SCENARIO'!$C$9*O23))/SUM('DATA AND SCENARIO'!$B$2:$B$9)</f>
        <v>2.539085156731153</v>
      </c>
      <c r="I6" s="26">
        <f>H6*SUM('DATA AND SCENARIO'!$B$2:$B$9)</f>
        <v>261050.96221900004</v>
      </c>
      <c r="J6" s="61">
        <f t="shared" si="0"/>
        <v>259945.05778099986</v>
      </c>
      <c r="K6" s="63">
        <v>4</v>
      </c>
      <c r="L6" s="62">
        <f t="shared" si="2"/>
        <v>64986.264445249966</v>
      </c>
    </row>
    <row r="7" spans="2:27" x14ac:dyDescent="0.3">
      <c r="B7" s="30" t="s">
        <v>41</v>
      </c>
      <c r="C7" s="48">
        <f>('RELIABILITY INDICES'!D89*SUM('DATA AND SCENARIO'!B3:B10))/SUM('DATA AND SCENARIO'!B3:B10)</f>
        <v>3.9000000000000004</v>
      </c>
      <c r="D7" s="25">
        <f>(('DATA AND SCENARIO'!$B$2*R16)+('DATA AND SCENARIO'!$B$3*R17)+('DATA AND SCENARIO'!$B$4*R18)+('DATA AND SCENARIO'!$B$5*R19)+('DATA AND SCENARIO'!$B$6*R20)+('DATA AND SCENARIO'!$B$7*R21)+('DATA AND SCENARIO'!$B$8*R22)+('DATA AND SCENARIO'!$B$9*R23))/SUM('DATA AND SCENARIO'!$B$2:$B$9)</f>
        <v>5.3400618530730553</v>
      </c>
      <c r="E7" s="25">
        <f t="shared" si="3"/>
        <v>1.3692466289930909</v>
      </c>
      <c r="F7" s="25">
        <f t="shared" si="4"/>
        <v>6.0959610194897889E-4</v>
      </c>
      <c r="G7" s="25">
        <f t="shared" si="1"/>
        <v>0.99939040389805101</v>
      </c>
      <c r="H7" s="25">
        <f>(('DATA AND SCENARIO'!$C$2*R16)+('DATA AND SCENARIO'!$C$3*R17)+('DATA AND SCENARIO'!$C$4*R18)+('DATA AND SCENARIO'!$C$5*R19)+('DATA AND SCENARIO'!$C$6*R20)+('DATA AND SCENARIO'!$C$7*R21)+('DATA AND SCENARIO'!$C$8*R22)+('DATA AND SCENARIO'!$C$9*R23))/SUM('DATA AND SCENARIO'!$B$2:$B$9)</f>
        <v>2.3575179864705831</v>
      </c>
      <c r="I7" s="26">
        <f>H7*SUM('DATA AND SCENARIO'!$B$2:$B$9)</f>
        <v>242383.49674300005</v>
      </c>
      <c r="J7" s="61">
        <f t="shared" si="0"/>
        <v>278612.52325699985</v>
      </c>
      <c r="K7" s="63">
        <v>5</v>
      </c>
      <c r="L7" s="62">
        <f t="shared" si="2"/>
        <v>55722.50465139997</v>
      </c>
    </row>
    <row r="8" spans="2:27" x14ac:dyDescent="0.3">
      <c r="B8" s="30" t="s">
        <v>42</v>
      </c>
      <c r="C8" s="48">
        <f>('RELIABILITY INDICES'!D104*SUM('DATA AND SCENARIO'!B4:B11))/SUM('DATA AND SCENARIO'!B4:B11)</f>
        <v>3.9</v>
      </c>
      <c r="D8" s="25">
        <f>(('DATA AND SCENARIO'!$B$2*U16)+('DATA AND SCENARIO'!$B$3*U17)+('DATA AND SCENARIO'!$B$4*U18)+('DATA AND SCENARIO'!$B$5*U19)+('DATA AND SCENARIO'!$B$6*U20)+('DATA AND SCENARIO'!$B$7*U21)+('DATA AND SCENARIO'!$B$8*U22)+('DATA AND SCENARIO'!$B$9*U23))/SUM('DATA AND SCENARIO'!$B$2:$B$9)</f>
        <v>5.023959695758319</v>
      </c>
      <c r="E8" s="25">
        <f t="shared" si="3"/>
        <v>1.2881947937841844</v>
      </c>
      <c r="F8" s="25">
        <f>D8/8760</f>
        <v>5.7351138079432865E-4</v>
      </c>
      <c r="G8" s="25">
        <f>1-F8</f>
        <v>0.99942648861920569</v>
      </c>
      <c r="H8" s="25">
        <f>(('DATA AND SCENARIO'!$C$2*U16)+('DATA AND SCENARIO'!$C$3*U17)+('DATA AND SCENARIO'!$C$4*U18)+('DATA AND SCENARIO'!$C$5*U19)+('DATA AND SCENARIO'!$C$6*U20)+('DATA AND SCENARIO'!$C$7*U21)+('DATA AND SCENARIO'!$C$8*U22)+('DATA AND SCENARIO'!$C$9*U23))/SUM('DATA AND SCENARIO'!$B$2:$B$9)</f>
        <v>2.2513659962358852</v>
      </c>
      <c r="I8" s="26">
        <f>H8*SUM('DATA AND SCENARIO'!$B$2:$B$9)</f>
        <v>231469.69217100006</v>
      </c>
      <c r="J8" s="61">
        <f t="shared" ref="J8:J10" si="5">$I$2-I8</f>
        <v>289526.32782899984</v>
      </c>
      <c r="K8" s="63">
        <v>6</v>
      </c>
      <c r="L8" s="62">
        <f t="shared" si="2"/>
        <v>48254.387971499971</v>
      </c>
    </row>
    <row r="9" spans="2:27" x14ac:dyDescent="0.3">
      <c r="B9" s="30" t="s">
        <v>43</v>
      </c>
      <c r="C9" s="48">
        <f>('RELIABILITY INDICES'!D119*SUM('DATA AND SCENARIO'!B5:B12))/SUM('DATA AND SCENARIO'!B5:B12)</f>
        <v>3.9</v>
      </c>
      <c r="D9" s="25">
        <f>(('DATA AND SCENARIO'!$B$2*X16)+('DATA AND SCENARIO'!$B$3*X17)+('DATA AND SCENARIO'!$B$4*X18)+('DATA AND SCENARIO'!$B$5*X19)+('DATA AND SCENARIO'!$B$6*X20)+('DATA AND SCENARIO'!$B$7*X21)+('DATA AND SCENARIO'!$B$8*X22)+('DATA AND SCENARIO'!$B$9*X23))/SUM('DATA AND SCENARIO'!$B$2:$B$9)</f>
        <v>4.9689158734790349</v>
      </c>
      <c r="E9" s="25">
        <f t="shared" si="3"/>
        <v>1.2740809931997525</v>
      </c>
      <c r="F9" s="25">
        <f>D9/8760</f>
        <v>5.6722783943824603E-4</v>
      </c>
      <c r="G9" s="25">
        <f>1-F9</f>
        <v>0.9994327721605617</v>
      </c>
      <c r="H9" s="25">
        <f>(('DATA AND SCENARIO'!$C$2*X16)+('DATA AND SCENARIO'!$C$3*X17)+('DATA AND SCENARIO'!$C$4*X18)+('DATA AND SCENARIO'!$C$5*X19)+('DATA AND SCENARIO'!$C$6*X20)+('DATA AND SCENARIO'!$C$7*X21)+('DATA AND SCENARIO'!$C$8*X22)+('DATA AND SCENARIO'!$C$9*X23))/SUM('DATA AND SCENARIO'!$B$2:$B$9)</f>
        <v>2.2300587863986077</v>
      </c>
      <c r="I9" s="26">
        <f>H9*SUM('DATA AND SCENARIO'!$B$2:$B$9)</f>
        <v>229279.03400600006</v>
      </c>
      <c r="J9" s="61">
        <f t="shared" si="5"/>
        <v>291716.98599399987</v>
      </c>
      <c r="K9" s="63">
        <v>7</v>
      </c>
      <c r="L9" s="62">
        <f t="shared" si="2"/>
        <v>41673.855141999979</v>
      </c>
    </row>
    <row r="10" spans="2:27" ht="15" thickBot="1" x14ac:dyDescent="0.35">
      <c r="B10" s="31" t="s">
        <v>44</v>
      </c>
      <c r="C10" s="48" t="e">
        <f>('RELIABILITY INDICES'!D134*SUM(RESULTS!#REF!))/SUM(RESULTS!#REF!)</f>
        <v>#REF!</v>
      </c>
      <c r="D10" s="25">
        <f>(('DATA AND SCENARIO'!$B$2*AA16)+('DATA AND SCENARIO'!$B$3*AA17)+('DATA AND SCENARIO'!$B$4*AA18)+('DATA AND SCENARIO'!$B$5*AA19)+('DATA AND SCENARIO'!$B$6*AA20)+('DATA AND SCENARIO'!$B$7*AA21)+('DATA AND SCENARIO'!$B$8*AA22)+('DATA AND SCENARIO'!$B$9*AA23))/SUM('DATA AND SCENARIO'!$B$2:$B$9)</f>
        <v>4.7043776633305132</v>
      </c>
      <c r="E10" s="25" t="e">
        <f t="shared" si="3"/>
        <v>#REF!</v>
      </c>
      <c r="F10" s="25">
        <f>D10/8760</f>
        <v>5.3702941362220469E-4</v>
      </c>
      <c r="G10" s="25">
        <f t="shared" si="1"/>
        <v>0.99946297058637779</v>
      </c>
      <c r="H10" s="25">
        <f>(('DATA AND SCENARIO'!$C$2*AA16)+('DATA AND SCENARIO'!$C$3*AA17)+('DATA AND SCENARIO'!$C$4*AA18)+('DATA AND SCENARIO'!$C$5*AA19)+('DATA AND SCENARIO'!$C$6*AA20)+('DATA AND SCENARIO'!$C$7*AA21)+('DATA AND SCENARIO'!$C$8*AA22)+('DATA AND SCENARIO'!$C$9*AA23))/SUM('DATA AND SCENARIO'!$B$2:$B$9)</f>
        <v>2.1460133868771463</v>
      </c>
      <c r="I10" s="26">
        <f>H10*SUM('DATA AND SCENARIO'!$B$2:$B$9)</f>
        <v>220638.07434500003</v>
      </c>
      <c r="J10" s="61">
        <f t="shared" si="5"/>
        <v>300357.94565499987</v>
      </c>
      <c r="K10" s="63">
        <v>8</v>
      </c>
      <c r="L10" s="62">
        <f t="shared" si="2"/>
        <v>37544.743206874984</v>
      </c>
    </row>
    <row r="15" spans="2:27" x14ac:dyDescent="0.3">
      <c r="B15" s="50" t="s">
        <v>72</v>
      </c>
      <c r="C15" s="37" t="s">
        <v>51</v>
      </c>
      <c r="E15" s="50" t="s">
        <v>73</v>
      </c>
      <c r="F15" s="37" t="s">
        <v>51</v>
      </c>
      <c r="H15" s="50" t="s">
        <v>74</v>
      </c>
      <c r="I15" s="37" t="s">
        <v>51</v>
      </c>
      <c r="K15" s="50" t="s">
        <v>76</v>
      </c>
      <c r="L15" s="37" t="s">
        <v>51</v>
      </c>
      <c r="N15" s="50" t="s">
        <v>75</v>
      </c>
      <c r="O15" s="37" t="s">
        <v>51</v>
      </c>
      <c r="Q15" s="50" t="s">
        <v>77</v>
      </c>
      <c r="R15" s="37" t="s">
        <v>51</v>
      </c>
      <c r="T15" s="50" t="s">
        <v>78</v>
      </c>
      <c r="U15" s="37" t="s">
        <v>51</v>
      </c>
      <c r="W15" s="50" t="s">
        <v>79</v>
      </c>
      <c r="X15" s="37" t="s">
        <v>51</v>
      </c>
      <c r="Z15" s="50" t="s">
        <v>80</v>
      </c>
      <c r="AA15" s="37" t="s">
        <v>51</v>
      </c>
    </row>
    <row r="16" spans="2:27" x14ac:dyDescent="0.3">
      <c r="B16" s="38" t="s">
        <v>3</v>
      </c>
      <c r="C16" s="39">
        <f>'RELIABILITY INDICES'!F14</f>
        <v>10.049999999999999</v>
      </c>
      <c r="E16" s="38" t="s">
        <v>3</v>
      </c>
      <c r="F16" s="39">
        <f>'RELIABILITY INDICES'!$F29</f>
        <v>8.7164000000000001</v>
      </c>
      <c r="H16" s="38" t="s">
        <v>3</v>
      </c>
      <c r="I16" s="39">
        <f>'RELIABILITY INDICES'!$F44</f>
        <v>8.7164000000000001</v>
      </c>
      <c r="K16" s="38" t="s">
        <v>3</v>
      </c>
      <c r="L16" s="39">
        <f>'RELIABILITY INDICES'!$F59</f>
        <v>2.5989000000000004</v>
      </c>
      <c r="N16" s="38" t="s">
        <v>3</v>
      </c>
      <c r="O16" s="39">
        <f>'RELIABILITY INDICES'!$F74</f>
        <v>2.5989000000000004</v>
      </c>
      <c r="Q16" s="38" t="s">
        <v>3</v>
      </c>
      <c r="R16" s="39">
        <f>'RELIABILITY INDICES'!$F89</f>
        <v>2.5989000000000004</v>
      </c>
      <c r="T16" s="38" t="s">
        <v>3</v>
      </c>
      <c r="U16" s="39">
        <f>'RELIABILITY INDICES'!$F104</f>
        <v>2.5989000000000004</v>
      </c>
      <c r="W16" s="38" t="s">
        <v>3</v>
      </c>
      <c r="X16" s="39">
        <f>'RELIABILITY INDICES'!$F119</f>
        <v>2.5989000000000004</v>
      </c>
      <c r="Z16" s="38" t="s">
        <v>3</v>
      </c>
      <c r="AA16" s="39">
        <f>'RELIABILITY INDICES'!$F134</f>
        <v>2.5989000000000004</v>
      </c>
    </row>
    <row r="17" spans="2:27" x14ac:dyDescent="0.3">
      <c r="B17" s="38" t="s">
        <v>4</v>
      </c>
      <c r="C17" s="39">
        <f>'RELIABILITY INDICES'!I14</f>
        <v>10.049999999999999</v>
      </c>
      <c r="E17" s="38" t="s">
        <v>4</v>
      </c>
      <c r="F17" s="39">
        <f>'RELIABILITY INDICES'!$I29</f>
        <v>10.049999999999999</v>
      </c>
      <c r="H17" s="38" t="s">
        <v>4</v>
      </c>
      <c r="I17" s="39">
        <f>'RELIABILITY INDICES'!$I44</f>
        <v>9.3831999999999987</v>
      </c>
      <c r="K17" s="38" t="s">
        <v>4</v>
      </c>
      <c r="L17" s="39">
        <f>'RELIABILITY INDICES'!$I59</f>
        <v>3.2656999999999998</v>
      </c>
      <c r="N17" s="38" t="s">
        <v>4</v>
      </c>
      <c r="O17" s="39">
        <f>'RELIABILITY INDICES'!$I74</f>
        <v>3.2656999999999998</v>
      </c>
      <c r="Q17" s="38" t="s">
        <v>4</v>
      </c>
      <c r="R17" s="39">
        <f>'RELIABILITY INDICES'!$I89</f>
        <v>3.2656999999999998</v>
      </c>
      <c r="T17" s="38" t="s">
        <v>4</v>
      </c>
      <c r="U17" s="39">
        <f>'RELIABILITY INDICES'!$I104</f>
        <v>3.2656999999999998</v>
      </c>
      <c r="W17" s="38" t="s">
        <v>4</v>
      </c>
      <c r="X17" s="39">
        <f>'RELIABILITY INDICES'!$I119</f>
        <v>3.2656999999999998</v>
      </c>
      <c r="Z17" s="38" t="s">
        <v>4</v>
      </c>
      <c r="AA17" s="39">
        <f>'RELIABILITY INDICES'!$I134</f>
        <v>3.2656999999999998</v>
      </c>
    </row>
    <row r="18" spans="2:27" x14ac:dyDescent="0.3">
      <c r="B18" s="38" t="s">
        <v>5</v>
      </c>
      <c r="C18" s="39">
        <f>'RELIABILITY INDICES'!L14</f>
        <v>10.049999999999999</v>
      </c>
      <c r="E18" s="38" t="s">
        <v>5</v>
      </c>
      <c r="F18" s="39">
        <f>'RELIABILITY INDICES'!$L29</f>
        <v>10.049999999999999</v>
      </c>
      <c r="H18" s="38" t="s">
        <v>5</v>
      </c>
      <c r="I18" s="39">
        <f>'RELIABILITY INDICES'!$L44</f>
        <v>10.049999999999999</v>
      </c>
      <c r="K18" s="38" t="s">
        <v>5</v>
      </c>
      <c r="L18" s="39">
        <f>'RELIABILITY INDICES'!$L59</f>
        <v>3.9324999999999997</v>
      </c>
      <c r="N18" s="38" t="s">
        <v>5</v>
      </c>
      <c r="O18" s="39">
        <f>'RELIABILITY INDICES'!$L74</f>
        <v>3.9324999999999997</v>
      </c>
      <c r="Q18" s="38" t="s">
        <v>5</v>
      </c>
      <c r="R18" s="39">
        <f>'RELIABILITY INDICES'!$L89</f>
        <v>3.9324999999999997</v>
      </c>
      <c r="T18" s="38" t="s">
        <v>5</v>
      </c>
      <c r="U18" s="39">
        <f>'RELIABILITY INDICES'!$L104</f>
        <v>3.9324999999999997</v>
      </c>
      <c r="W18" s="38" t="s">
        <v>5</v>
      </c>
      <c r="X18" s="39">
        <f>'RELIABILITY INDICES'!$L119</f>
        <v>3.9324999999999997</v>
      </c>
      <c r="Z18" s="38" t="s">
        <v>5</v>
      </c>
      <c r="AA18" s="39">
        <f>'RELIABILITY INDICES'!$L134</f>
        <v>3.9324999999999997</v>
      </c>
    </row>
    <row r="19" spans="2:27" x14ac:dyDescent="0.3">
      <c r="B19" s="38" t="s">
        <v>6</v>
      </c>
      <c r="C19" s="39">
        <f>'RELIABILITY INDICES'!O14</f>
        <v>10.049999999999999</v>
      </c>
      <c r="E19" s="38" t="s">
        <v>6</v>
      </c>
      <c r="F19" s="39">
        <f>'RELIABILITY INDICES'!$O29</f>
        <v>8.7164000000000001</v>
      </c>
      <c r="H19" s="38" t="s">
        <v>6</v>
      </c>
      <c r="I19" s="39">
        <f>'RELIABILITY INDICES'!$O44</f>
        <v>8.7164000000000001</v>
      </c>
      <c r="K19" s="38" t="s">
        <v>6</v>
      </c>
      <c r="L19" s="39">
        <f>'RELIABILITY INDICES'!$O59</f>
        <v>8.7164000000000001</v>
      </c>
      <c r="N19" s="38" t="s">
        <v>6</v>
      </c>
      <c r="O19" s="39">
        <f>'RELIABILITY INDICES'!$O74</f>
        <v>3.6990000000000003</v>
      </c>
      <c r="Q19" s="38" t="s">
        <v>6</v>
      </c>
      <c r="R19" s="39">
        <f>'RELIABILITY INDICES'!$O89</f>
        <v>3.6990000000000003</v>
      </c>
      <c r="T19" s="38" t="s">
        <v>6</v>
      </c>
      <c r="U19" s="39">
        <f>'RELIABILITY INDICES'!$O104</f>
        <v>3.6990000000000003</v>
      </c>
      <c r="W19" s="38" t="s">
        <v>6</v>
      </c>
      <c r="X19" s="39">
        <f>'RELIABILITY INDICES'!$O119</f>
        <v>3.6990000000000003</v>
      </c>
      <c r="Z19" s="38" t="s">
        <v>6</v>
      </c>
      <c r="AA19" s="39">
        <f>'RELIABILITY INDICES'!$O134</f>
        <v>3.6990000000000003</v>
      </c>
    </row>
    <row r="20" spans="2:27" x14ac:dyDescent="0.3">
      <c r="B20" s="38" t="s">
        <v>7</v>
      </c>
      <c r="C20" s="39">
        <f>'RELIABILITY INDICES'!R14</f>
        <v>10.049999999999999</v>
      </c>
      <c r="E20" s="38" t="s">
        <v>7</v>
      </c>
      <c r="F20" s="39">
        <f>'RELIABILITY INDICES'!$R29</f>
        <v>8.7164000000000001</v>
      </c>
      <c r="H20" s="38" t="s">
        <v>7</v>
      </c>
      <c r="I20" s="39">
        <f>'RELIABILITY INDICES'!$R44</f>
        <v>8.7164000000000001</v>
      </c>
      <c r="K20" s="38" t="s">
        <v>7</v>
      </c>
      <c r="L20" s="39">
        <f>'RELIABILITY INDICES'!$R59</f>
        <v>8.7164000000000001</v>
      </c>
      <c r="N20" s="38" t="s">
        <v>7</v>
      </c>
      <c r="O20" s="39">
        <f>'RELIABILITY INDICES'!$R74</f>
        <v>8.7164000000000001</v>
      </c>
      <c r="Q20" s="38" t="s">
        <v>7</v>
      </c>
      <c r="R20" s="39">
        <f>'RELIABILITY INDICES'!$R89</f>
        <v>8.7164000000000001</v>
      </c>
      <c r="T20" s="38" t="s">
        <v>7</v>
      </c>
      <c r="U20" s="39">
        <f>'RELIABILITY INDICES'!$R104</f>
        <v>5.7993000000000006</v>
      </c>
      <c r="W20" s="38" t="s">
        <v>7</v>
      </c>
      <c r="X20" s="39">
        <f>'RELIABILITY INDICES'!$R119</f>
        <v>5.7993000000000006</v>
      </c>
      <c r="Z20" s="38" t="s">
        <v>7</v>
      </c>
      <c r="AA20" s="39">
        <f>'RELIABILITY INDICES'!$R134</f>
        <v>5.7993000000000006</v>
      </c>
    </row>
    <row r="21" spans="2:27" x14ac:dyDescent="0.3">
      <c r="B21" s="38" t="s">
        <v>8</v>
      </c>
      <c r="C21" s="39">
        <f>'RELIABILITY INDICES'!U14</f>
        <v>10.049999999999999</v>
      </c>
      <c r="E21" s="38" t="s">
        <v>8</v>
      </c>
      <c r="F21" s="39">
        <f>'RELIABILITY INDICES'!$U29</f>
        <v>8.7164000000000001</v>
      </c>
      <c r="H21" s="38" t="s">
        <v>8</v>
      </c>
      <c r="I21" s="39">
        <f>'RELIABILITY INDICES'!$U44</f>
        <v>8.7164000000000001</v>
      </c>
      <c r="K21" s="38" t="s">
        <v>8</v>
      </c>
      <c r="L21" s="39">
        <f>'RELIABILITY INDICES'!$U59</f>
        <v>8.7164000000000001</v>
      </c>
      <c r="N21" s="38" t="s">
        <v>8</v>
      </c>
      <c r="O21" s="39">
        <f>'RELIABILITY INDICES'!$U74</f>
        <v>8.7164000000000001</v>
      </c>
      <c r="Q21" s="38" t="s">
        <v>8</v>
      </c>
      <c r="R21" s="39">
        <f>'RELIABILITY INDICES'!$U89</f>
        <v>7.4162000000000008</v>
      </c>
      <c r="T21" s="38" t="s">
        <v>8</v>
      </c>
      <c r="U21" s="39">
        <f>'RELIABILITY INDICES'!$U104</f>
        <v>7.4162000000000008</v>
      </c>
      <c r="W21" s="38" t="s">
        <v>8</v>
      </c>
      <c r="X21" s="39">
        <f>'RELIABILITY INDICES'!$U119</f>
        <v>6.6327000000000007</v>
      </c>
      <c r="Z21" s="38" t="s">
        <v>8</v>
      </c>
      <c r="AA21" s="39">
        <f>'RELIABILITY INDICES'!$U134</f>
        <v>5.8326000000000002</v>
      </c>
    </row>
    <row r="22" spans="2:27" x14ac:dyDescent="0.3">
      <c r="B22" s="38" t="s">
        <v>9</v>
      </c>
      <c r="C22" s="39">
        <f>'RELIABILITY INDICES'!X14</f>
        <v>10.049999999999999</v>
      </c>
      <c r="E22" s="38" t="s">
        <v>9</v>
      </c>
      <c r="F22" s="39">
        <f>'RELIABILITY INDICES'!$X29</f>
        <v>8.7164000000000001</v>
      </c>
      <c r="H22" s="38" t="s">
        <v>9</v>
      </c>
      <c r="I22" s="39">
        <f>'RELIABILITY INDICES'!$X44</f>
        <v>8.7164000000000001</v>
      </c>
      <c r="K22" s="38" t="s">
        <v>9</v>
      </c>
      <c r="L22" s="39">
        <f>'RELIABILITY INDICES'!$X59</f>
        <v>8.7164000000000001</v>
      </c>
      <c r="N22" s="38" t="s">
        <v>9</v>
      </c>
      <c r="O22" s="39">
        <f>'RELIABILITY INDICES'!$X74</f>
        <v>8.7164000000000001</v>
      </c>
      <c r="Q22" s="38" t="s">
        <v>9</v>
      </c>
      <c r="R22" s="39">
        <f>'RELIABILITY INDICES'!$X89</f>
        <v>7.4162000000000008</v>
      </c>
      <c r="T22" s="38" t="s">
        <v>9</v>
      </c>
      <c r="U22" s="39">
        <f>'RELIABILITY INDICES'!$X104</f>
        <v>7.4162000000000008</v>
      </c>
      <c r="W22" s="38" t="s">
        <v>9</v>
      </c>
      <c r="X22" s="39">
        <f>'RELIABILITY INDICES'!$X119</f>
        <v>7.4162000000000008</v>
      </c>
      <c r="Z22" s="38" t="s">
        <v>9</v>
      </c>
      <c r="AA22" s="39">
        <f>'RELIABILITY INDICES'!$X134</f>
        <v>6.7661000000000007</v>
      </c>
    </row>
    <row r="23" spans="2:27" x14ac:dyDescent="0.3">
      <c r="B23" s="40" t="s">
        <v>10</v>
      </c>
      <c r="C23" s="41">
        <f>'RELIABILITY INDICES'!AA14</f>
        <v>10.049999999999999</v>
      </c>
      <c r="E23" s="40" t="s">
        <v>10</v>
      </c>
      <c r="F23" s="41">
        <f>'RELIABILITY INDICES'!$AA29</f>
        <v>8.7164000000000001</v>
      </c>
      <c r="H23" s="40" t="s">
        <v>10</v>
      </c>
      <c r="I23" s="41">
        <f>'RELIABILITY INDICES'!$AA44</f>
        <v>8.7164000000000001</v>
      </c>
      <c r="K23" s="40" t="s">
        <v>10</v>
      </c>
      <c r="L23" s="41">
        <f>'RELIABILITY INDICES'!$AA59</f>
        <v>8.7164000000000001</v>
      </c>
      <c r="N23" s="40" t="s">
        <v>10</v>
      </c>
      <c r="O23" s="41">
        <f>'RELIABILITY INDICES'!$AA74</f>
        <v>8.7164000000000001</v>
      </c>
      <c r="Q23" s="40" t="s">
        <v>10</v>
      </c>
      <c r="R23" s="41">
        <f>'RELIABILITY INDICES'!$AA89</f>
        <v>7.4162000000000008</v>
      </c>
      <c r="T23" s="40" t="s">
        <v>10</v>
      </c>
      <c r="U23" s="41">
        <f>'RELIABILITY INDICES'!$AA104</f>
        <v>7.4162000000000008</v>
      </c>
      <c r="W23" s="40" t="s">
        <v>10</v>
      </c>
      <c r="X23" s="41">
        <f>'RELIABILITY INDICES'!$AA119</f>
        <v>7.4162000000000008</v>
      </c>
      <c r="Z23" s="40" t="s">
        <v>10</v>
      </c>
      <c r="AA23" s="41">
        <f>'RELIABILITY INDICES'!$AA134</f>
        <v>7.4162000000000008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AND SCENARIO</vt:lpstr>
      <vt:lpstr>RELIABILITY INDICES</vt:lpstr>
      <vt:lpstr>RESULTS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Joshua Miguel Badoria</cp:lastModifiedBy>
  <dcterms:created xsi:type="dcterms:W3CDTF">2019-10-07T05:51:06Z</dcterms:created>
  <dcterms:modified xsi:type="dcterms:W3CDTF">2025-11-14T08:23:00Z</dcterms:modified>
</cp:coreProperties>
</file>